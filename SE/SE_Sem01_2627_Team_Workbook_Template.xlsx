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Drive\MyTDTU\TDTU-CNPM\1.SE\1.SE.SV\5.Assignments\Sem1.2627\"/>
    </mc:Choice>
  </mc:AlternateContent>
  <xr:revisionPtr revIDLastSave="0" documentId="8_{9524AB38-0782-43C7-8818-613369952455}" xr6:coauthVersionLast="47" xr6:coauthVersionMax="47" xr10:uidLastSave="{00000000-0000-0000-0000-000000000000}"/>
  <bookViews>
    <workbookView xWindow="-120" yWindow="-120" windowWidth="29040" windowHeight="15720" tabRatio="500" xr2:uid="{00000000-000D-0000-FFFF-FFFF00000000}"/>
  </bookViews>
  <sheets>
    <sheet name="Instructions" sheetId="1" r:id="rId1"/>
    <sheet name="Team &amp; Tier" sheetId="2" r:id="rId2"/>
    <sheet name="Ambiguity Log" sheetId="3" r:id="rId3"/>
    <sheet name="Requirements" sheetId="4" r:id="rId4"/>
    <sheet name="Plan &amp; Risks" sheetId="5" r:id="rId5"/>
    <sheet name="EP-BVA Planner" sheetId="6" r:id="rId6"/>
    <sheet name="Test Cases" sheetId="7" r:id="rId7"/>
    <sheet name="State Tests" sheetId="8" r:id="rId8"/>
    <sheet name="RTM" sheetId="9" r:id="rId9"/>
    <sheet name="Change Request" sheetId="10" r:id="rId10"/>
    <sheet name="Tier Checklist" sheetId="11" r:id="rId11"/>
    <sheet name="Contribution &amp; Commits" sheetId="12" r:id="rId12"/>
    <sheet name="AI Usage Log" sheetId="13" r:id="rId13"/>
    <sheet name="Feedback Log"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3" i="10" l="1"/>
  <c r="B32" i="10"/>
  <c r="B31" i="10"/>
  <c r="C51" i="9"/>
  <c r="C49" i="9"/>
  <c r="B49" i="9"/>
  <c r="C48" i="9"/>
  <c r="B48" i="9"/>
  <c r="A48" i="9"/>
  <c r="H48" i="9" s="1"/>
  <c r="C47" i="9"/>
  <c r="B47" i="9"/>
  <c r="A47" i="9"/>
  <c r="H47" i="9" s="1"/>
  <c r="C46" i="9"/>
  <c r="B46" i="9"/>
  <c r="A46" i="9"/>
  <c r="H46" i="9" s="1"/>
  <c r="C45" i="9"/>
  <c r="B45" i="9"/>
  <c r="C44" i="9"/>
  <c r="B44" i="9"/>
  <c r="A44" i="9"/>
  <c r="H44" i="9" s="1"/>
  <c r="C43" i="9"/>
  <c r="B43" i="9"/>
  <c r="C42" i="9"/>
  <c r="B42" i="9"/>
  <c r="A42" i="9"/>
  <c r="H42" i="9" s="1"/>
  <c r="C41" i="9"/>
  <c r="B41" i="9"/>
  <c r="C40" i="9"/>
  <c r="B40" i="9"/>
  <c r="A40" i="9"/>
  <c r="H40" i="9" s="1"/>
  <c r="C39" i="9"/>
  <c r="B39" i="9"/>
  <c r="A39" i="9"/>
  <c r="H39" i="9" s="1"/>
  <c r="C38" i="9"/>
  <c r="B38" i="9"/>
  <c r="A38" i="9"/>
  <c r="H38" i="9" s="1"/>
  <c r="C37" i="9"/>
  <c r="B37" i="9"/>
  <c r="C36" i="9"/>
  <c r="B36" i="9"/>
  <c r="A36" i="9"/>
  <c r="H36" i="9" s="1"/>
  <c r="C35" i="9"/>
  <c r="B35" i="9"/>
  <c r="C34" i="9"/>
  <c r="B34" i="9"/>
  <c r="A34" i="9"/>
  <c r="H34" i="9" s="1"/>
  <c r="C33" i="9"/>
  <c r="B33" i="9"/>
  <c r="C32" i="9"/>
  <c r="B32" i="9"/>
  <c r="A32" i="9"/>
  <c r="H32" i="9" s="1"/>
  <c r="C31" i="9"/>
  <c r="B31" i="9"/>
  <c r="A31" i="9"/>
  <c r="H31" i="9" s="1"/>
  <c r="C30" i="9"/>
  <c r="B30" i="9"/>
  <c r="A30" i="9"/>
  <c r="H30" i="9" s="1"/>
  <c r="C29" i="9"/>
  <c r="B29" i="9"/>
  <c r="C28" i="9"/>
  <c r="B28" i="9"/>
  <c r="A28" i="9"/>
  <c r="H28" i="9" s="1"/>
  <c r="C27" i="9"/>
  <c r="B27" i="9"/>
  <c r="C26" i="9"/>
  <c r="B26" i="9"/>
  <c r="A26" i="9"/>
  <c r="H26" i="9" s="1"/>
  <c r="C25" i="9"/>
  <c r="B25" i="9"/>
  <c r="C24" i="9"/>
  <c r="B24" i="9"/>
  <c r="A24" i="9"/>
  <c r="H24" i="9" s="1"/>
  <c r="C23" i="9"/>
  <c r="B23" i="9"/>
  <c r="A23" i="9"/>
  <c r="H23" i="9" s="1"/>
  <c r="C22" i="9"/>
  <c r="B22" i="9"/>
  <c r="A22" i="9"/>
  <c r="H22" i="9" s="1"/>
  <c r="C21" i="9"/>
  <c r="B21" i="9"/>
  <c r="C20" i="9"/>
  <c r="B20" i="9"/>
  <c r="A20" i="9"/>
  <c r="H20" i="9" s="1"/>
  <c r="C19" i="9"/>
  <c r="B19" i="9"/>
  <c r="C18" i="9"/>
  <c r="B18" i="9"/>
  <c r="A18" i="9"/>
  <c r="H18" i="9" s="1"/>
  <c r="C17" i="9"/>
  <c r="B17" i="9"/>
  <c r="C16" i="9"/>
  <c r="B16" i="9"/>
  <c r="A16" i="9"/>
  <c r="H16" i="9" s="1"/>
  <c r="C15" i="9"/>
  <c r="B15" i="9"/>
  <c r="A15" i="9"/>
  <c r="H15" i="9" s="1"/>
  <c r="C14" i="9"/>
  <c r="B14" i="9"/>
  <c r="A14" i="9"/>
  <c r="H14" i="9" s="1"/>
  <c r="C13" i="9"/>
  <c r="B13" i="9"/>
  <c r="C12" i="9"/>
  <c r="B12" i="9"/>
  <c r="A12" i="9"/>
  <c r="H12" i="9" s="1"/>
  <c r="C11" i="9"/>
  <c r="B11" i="9"/>
  <c r="C10" i="9"/>
  <c r="B10" i="9"/>
  <c r="A10" i="9"/>
  <c r="H10" i="9" s="1"/>
  <c r="C9" i="9"/>
  <c r="B9" i="9"/>
  <c r="C8" i="9"/>
  <c r="B8" i="9"/>
  <c r="A8" i="9"/>
  <c r="H8" i="9" s="1"/>
  <c r="C7" i="9"/>
  <c r="B7" i="9"/>
  <c r="A7" i="9"/>
  <c r="H7" i="9" s="1"/>
  <c r="C6" i="9"/>
  <c r="B6" i="9"/>
  <c r="A6" i="9"/>
  <c r="H6" i="9" s="1"/>
  <c r="C5" i="9"/>
  <c r="B5" i="9"/>
  <c r="F33" i="8"/>
  <c r="F34" i="8" s="1"/>
  <c r="F13" i="8"/>
  <c r="G71" i="7"/>
  <c r="G70" i="7"/>
  <c r="G68" i="7"/>
  <c r="G67" i="7"/>
  <c r="G66" i="7"/>
  <c r="G69" i="7" s="1"/>
  <c r="C20" i="6"/>
  <c r="C19" i="6"/>
  <c r="C18" i="6"/>
  <c r="F16" i="6"/>
  <c r="F15" i="6"/>
  <c r="F14" i="6"/>
  <c r="F13" i="6"/>
  <c r="F12" i="6"/>
  <c r="F11" i="6"/>
  <c r="F10" i="6"/>
  <c r="F9" i="6"/>
  <c r="F8" i="6"/>
  <c r="F7" i="6"/>
  <c r="F6" i="6"/>
  <c r="F5" i="6"/>
  <c r="E50" i="5"/>
  <c r="E49" i="5"/>
  <c r="E48" i="5"/>
  <c r="E47" i="5"/>
  <c r="E46" i="5"/>
  <c r="E45" i="5"/>
  <c r="E44" i="5"/>
  <c r="E43" i="5"/>
  <c r="D51" i="4"/>
  <c r="D52" i="4" s="1"/>
  <c r="C51" i="4"/>
  <c r="A49" i="4"/>
  <c r="A49" i="9" s="1"/>
  <c r="H49" i="9" s="1"/>
  <c r="A48" i="4"/>
  <c r="A47" i="4"/>
  <c r="A46" i="4"/>
  <c r="A45" i="4"/>
  <c r="A45" i="9" s="1"/>
  <c r="H45" i="9" s="1"/>
  <c r="A44" i="4"/>
  <c r="A43" i="4"/>
  <c r="A43" i="9" s="1"/>
  <c r="H43" i="9" s="1"/>
  <c r="A42" i="4"/>
  <c r="A41" i="4"/>
  <c r="A41" i="9" s="1"/>
  <c r="H41" i="9" s="1"/>
  <c r="A40" i="4"/>
  <c r="A39" i="4"/>
  <c r="A38" i="4"/>
  <c r="A37" i="4"/>
  <c r="A37" i="9" s="1"/>
  <c r="H37" i="9" s="1"/>
  <c r="A36" i="4"/>
  <c r="A35" i="4"/>
  <c r="A35" i="9" s="1"/>
  <c r="H35" i="9" s="1"/>
  <c r="A34" i="4"/>
  <c r="A33" i="4"/>
  <c r="A33" i="9" s="1"/>
  <c r="H33" i="9" s="1"/>
  <c r="A32" i="4"/>
  <c r="A31" i="4"/>
  <c r="A30" i="4"/>
  <c r="A29" i="4"/>
  <c r="A29" i="9" s="1"/>
  <c r="H29" i="9" s="1"/>
  <c r="A28" i="4"/>
  <c r="A27" i="4"/>
  <c r="A27" i="9" s="1"/>
  <c r="H27" i="9" s="1"/>
  <c r="A26" i="4"/>
  <c r="A25" i="4"/>
  <c r="A25" i="9" s="1"/>
  <c r="H25" i="9" s="1"/>
  <c r="A24" i="4"/>
  <c r="A23" i="4"/>
  <c r="A22" i="4"/>
  <c r="A21" i="4"/>
  <c r="A21" i="9" s="1"/>
  <c r="H21" i="9" s="1"/>
  <c r="A20" i="4"/>
  <c r="A19" i="4"/>
  <c r="A19" i="9" s="1"/>
  <c r="H19" i="9" s="1"/>
  <c r="A18" i="4"/>
  <c r="A17" i="4"/>
  <c r="A17" i="9" s="1"/>
  <c r="H17" i="9" s="1"/>
  <c r="A16" i="4"/>
  <c r="A15" i="4"/>
  <c r="A14" i="4"/>
  <c r="A13" i="4"/>
  <c r="A13" i="9" s="1"/>
  <c r="H13" i="9" s="1"/>
  <c r="A12" i="4"/>
  <c r="A11" i="4"/>
  <c r="A11" i="9" s="1"/>
  <c r="H11" i="9" s="1"/>
  <c r="A10" i="4"/>
  <c r="A9" i="4"/>
  <c r="A9" i="9" s="1"/>
  <c r="H9" i="9" s="1"/>
  <c r="A8" i="4"/>
  <c r="A7" i="4"/>
  <c r="A6" i="4"/>
  <c r="A5" i="4"/>
  <c r="A5" i="9" s="1"/>
  <c r="H5" i="9" s="1"/>
  <c r="C52" i="9" s="1"/>
  <c r="D21" i="3"/>
  <c r="D22" i="3" s="1"/>
  <c r="D27" i="2"/>
  <c r="G13" i="2"/>
  <c r="F13" i="2"/>
  <c r="E13" i="2"/>
  <c r="G12" i="2"/>
  <c r="F12" i="2"/>
  <c r="E12" i="2"/>
  <c r="G11" i="2"/>
  <c r="F11" i="2"/>
  <c r="E11" i="2"/>
  <c r="B8" i="2"/>
  <c r="B6" i="2"/>
</calcChain>
</file>

<file path=xl/sharedStrings.xml><?xml version="1.0" encoding="utf-8"?>
<sst xmlns="http://schemas.openxmlformats.org/spreadsheetml/2006/main" count="567" uniqueCount="491">
  <si>
    <t>SE Team Workbook</t>
  </si>
  <si>
    <t>Introduction to Software Engineering  |  Sem01_2627  |  One workbook per team, kept in your shared Google Drive folder</t>
  </si>
  <si>
    <t>Purpose</t>
  </si>
  <si>
    <t>This workbook is your team's working record for the whole 7-week project. It holds your Ambiguity Log and questions to the instructor, the requirements, the plan, the Requirements Traceability Matrix (RTM), your test cases and the other tables the project asks for. Keep it in your team's shared Google Drive folder (share it with the instructor). The instructor reads it and replies in the green cells. It does not replace the official submission on eLearning.</t>
  </si>
  <si>
    <t>How the Ambiguity Log and questions work</t>
  </si>
  <si>
    <t>1. The specification deliberately leaves details open (for example how a shipper is chosen, or what is refunded after a failed delivery). Record each gap in the Ambiguity Log sheet, with the assumption your team would make if nobody answers.</t>
  </si>
  <si>
    <t>2. Discuss each one as a team first. If you want the instructor's view, set its status to "Asked". Do not ask what the specification already answers.</t>
  </si>
  <si>
    <t>3. The instructor answers in the green cells. Copy the final decision into the "Final decision" column and use it in your requirements, design and tests.</t>
  </si>
  <si>
    <t>4. You need at least 3 ambiguities in your Part 1 document. Unrecorded assumptions are not accepted as an excuse for a missing requirement.</t>
  </si>
  <si>
    <t>Colour legend</t>
  </si>
  <si>
    <t>Student input</t>
  </si>
  <si>
    <t>Yellow fill, blue text</t>
  </si>
  <si>
    <t>Instructor input</t>
  </si>
  <si>
    <t>Green fill, blue text</t>
  </si>
  <si>
    <t>Calculated / fixed</t>
  </si>
  <si>
    <t>Black text, no fill</t>
  </si>
  <si>
    <t>Sheets in this workbook</t>
  </si>
  <si>
    <t>Sheet</t>
  </si>
  <si>
    <t>Project requirement it supports</t>
  </si>
  <si>
    <t>Used in</t>
  </si>
  <si>
    <t>Fill in</t>
  </si>
  <si>
    <t>Team &amp; Tier</t>
  </si>
  <si>
    <t>Team, chosen tier and cap, at least one main use case (CRUD) per student</t>
  </si>
  <si>
    <t>Part 1</t>
  </si>
  <si>
    <t>Week 1</t>
  </si>
  <si>
    <t>Ambiguity Log</t>
  </si>
  <si>
    <t>At least 3 ambiguities with assumptions and instructor answers</t>
  </si>
  <si>
    <t>Week 1-2 and later</t>
  </si>
  <si>
    <t>Requirements</t>
  </si>
  <si>
    <t>FRs and NFRs with IDs, mapped to use cases, BRs and reports; measurable NFRs</t>
  </si>
  <si>
    <t>Part 1; RTM</t>
  </si>
  <si>
    <t>Part 1 on</t>
  </si>
  <si>
    <t>Plan &amp; Risks</t>
  </si>
  <si>
    <t>7-week plan, task board and risk list</t>
  </si>
  <si>
    <t>Part 1 proposal</t>
  </si>
  <si>
    <t>Throughout</t>
  </si>
  <si>
    <t>EP-BVA Planner</t>
  </si>
  <si>
    <t>Partitions and boundary values for every threshold (BR1 to BR12, BR14); at least 20 test cases</t>
  </si>
  <si>
    <t>Part 3 QA report</t>
  </si>
  <si>
    <t>Part 2 to 3</t>
  </si>
  <si>
    <t>Test Cases</t>
  </si>
  <si>
    <t>Test plan: ID, input, expected, actual, pass/fail, FR and BR IDs</t>
  </si>
  <si>
    <t>Part 3</t>
  </si>
  <si>
    <t>State Tests</t>
  </si>
  <si>
    <t>Valid transition coverage and at least 5 invalid order-state transition tests (BR15)</t>
  </si>
  <si>
    <t>RTM</t>
  </si>
  <si>
    <t>Every FR and NFR linked to use case, design, code and tests, with verdict</t>
  </si>
  <si>
    <t>Change Request</t>
  </si>
  <si>
    <t>One-page Change Request Impact Note and the class change list</t>
  </si>
  <si>
    <t>Part 3 (Week 5)</t>
  </si>
  <si>
    <t>Week 5</t>
  </si>
  <si>
    <t>Tier Checklist</t>
  </si>
  <si>
    <t>Checks that you really deliver the stack, architecture and extras of your tier</t>
  </si>
  <si>
    <t>Part 1 to 3</t>
  </si>
  <si>
    <t>Contribution &amp; Commits</t>
  </si>
  <si>
    <t>Contribution Statement draft and commits per student (more than 10)</t>
  </si>
  <si>
    <t>Part 3; contribution factor</t>
  </si>
  <si>
    <t>AI Usage Log</t>
  </si>
  <si>
    <t>Generative AI Usage Log, one row per use</t>
  </si>
  <si>
    <t>Appendix</t>
  </si>
  <si>
    <t>Feedback Log</t>
  </si>
  <si>
    <t>Feedback from each presentation and marking, and what you changed</t>
  </si>
  <si>
    <t>Final report</t>
  </si>
  <si>
    <t>After each feedback</t>
  </si>
  <si>
    <t>Team, Tier and Use Case Ownership</t>
  </si>
  <si>
    <t>Each student owns at least one main use case with complete CRUD. "Place and Manage Orders" must be owned by one team member.</t>
  </si>
  <si>
    <t>Team name</t>
  </si>
  <si>
    <t>Chosen tier</t>
  </si>
  <si>
    <t>Tier cap (/10)</t>
  </si>
  <si>
    <t>Instructor confirmed tier</t>
  </si>
  <si>
    <t>Team size</t>
  </si>
  <si>
    <t>Member</t>
  </si>
  <si>
    <t>Name</t>
  </si>
  <si>
    <t>Student ID</t>
  </si>
  <si>
    <t>Role</t>
  </si>
  <si>
    <t>Main use cases owned</t>
  </si>
  <si>
    <t>Commits (see Contribution sheet)</t>
  </si>
  <si>
    <t>Check</t>
  </si>
  <si>
    <t>Member 1</t>
  </si>
  <si>
    <t>Member 2</t>
  </si>
  <si>
    <t>Member 3</t>
  </si>
  <si>
    <t>Main use cases (candidate list A to F in the specification, or your own approved proposal)</t>
  </si>
  <si>
    <t>No.</t>
  </si>
  <si>
    <t>Use case</t>
  </si>
  <si>
    <t>Spec item</t>
  </si>
  <si>
    <t>CRUD meaning</t>
  </si>
  <si>
    <t>Status</t>
  </si>
  <si>
    <t>Owner (student ID)</t>
  </si>
  <si>
    <t>Instructor comment</t>
  </si>
  <si>
    <t>UC1</t>
  </si>
  <si>
    <t>UC2</t>
  </si>
  <si>
    <t>UC3</t>
  </si>
  <si>
    <t>UC4</t>
  </si>
  <si>
    <t>UC5</t>
  </si>
  <si>
    <t>UC6</t>
  </si>
  <si>
    <t>UC7</t>
  </si>
  <si>
    <t>UC8</t>
  </si>
  <si>
    <t>"Place and Manage Orders" owned?</t>
  </si>
  <si>
    <t>Pricing and payment module owner</t>
  </si>
  <si>
    <t>The pricing and payment module (BR1 to BR14) is shared team infrastructure. Its named owner is the student who owns "Place and Manage Orders".</t>
  </si>
  <si>
    <t>Technology tiers (from the specification; the instructor may edit the blue caps)</t>
  </si>
  <si>
    <t>Tier</t>
  </si>
  <si>
    <t>Max score (/10)</t>
  </si>
  <si>
    <t>Stack and architecture</t>
  </si>
  <si>
    <t>Tier 1</t>
  </si>
  <si>
    <t>C# WinForms + local SQL database / Excel. 3-Tier architecture.</t>
  </si>
  <si>
    <t>Tier 1B</t>
  </si>
  <si>
    <t>Core PHP (or CodeIgniter) + MySQL + Bootstrap. MVC architecture.</t>
  </si>
  <si>
    <t>Tier 2</t>
  </si>
  <si>
    <t>ASP.NET Web Forms/MVC (Database First) + SQL Server + Bootstrap. MVC.</t>
  </si>
  <si>
    <t>Tier 3</t>
  </si>
  <si>
    <t>ASP.NET MVC (Code First) + Entity Framework + Bootstrap. MVC.</t>
  </si>
  <si>
    <t>Tier 4</t>
  </si>
  <si>
    <t>Tier 3 plus live sandbox API, interactive Admin dashboard and automated tests.</t>
  </si>
  <si>
    <t>Ambiguity Log and Questions to the Instructor</t>
  </si>
  <si>
    <t>At least 3 ambiguities, gaps or conflicts in the specification, each with your assumption. Ask only what the specification does not answer.</t>
  </si>
  <si>
    <t>ID</t>
  </si>
  <si>
    <t>Type</t>
  </si>
  <si>
    <t>Where in the specification and what is unclear</t>
  </si>
  <si>
    <t>Question to the instructor (optional)</t>
  </si>
  <si>
    <t>Team discussion and our assumption (if no answer)</t>
  </si>
  <si>
    <t>Instructor answer</t>
  </si>
  <si>
    <t>Date</t>
  </si>
  <si>
    <t>Final decision / assumption we use</t>
  </si>
  <si>
    <t>Affects (FR / BR / UC)</t>
  </si>
  <si>
    <t>A-01</t>
  </si>
  <si>
    <t>A-02</t>
  </si>
  <si>
    <t>A-03</t>
  </si>
  <si>
    <t>A-04</t>
  </si>
  <si>
    <t>A-05</t>
  </si>
  <si>
    <t>A-06</t>
  </si>
  <si>
    <t>A-07</t>
  </si>
  <si>
    <t>A-08</t>
  </si>
  <si>
    <t>A-09</t>
  </si>
  <si>
    <t>A-10</t>
  </si>
  <si>
    <t>A-11</t>
  </si>
  <si>
    <t>A-12</t>
  </si>
  <si>
    <t>A-13</t>
  </si>
  <si>
    <t>A-14</t>
  </si>
  <si>
    <t>A-15</t>
  </si>
  <si>
    <t>Number of ambiguities logged</t>
  </si>
  <si>
    <t>Check (need at least 3)</t>
  </si>
  <si>
    <t>Functional ("The system shall…") and non-functional requirements with IDs. Non-functional requirements need a measurable target.</t>
  </si>
  <si>
    <t>Requirement</t>
  </si>
  <si>
    <t>Priority</t>
  </si>
  <si>
    <t>Business rules (BR)</t>
  </si>
  <si>
    <t>Report (R1 / R2)</t>
  </si>
  <si>
    <t>Owner (ID)</t>
  </si>
  <si>
    <t>Measurable target (NFR) / acceptance note</t>
  </si>
  <si>
    <t>Number of FRs / NFRs</t>
  </si>
  <si>
    <t>NFR check (4 baselines + at least 2 of your own = 6)</t>
  </si>
  <si>
    <t>7-Week Plan, Task Board and Risks</t>
  </si>
  <si>
    <t>Part 1 (Weeks 1-2), Part 2 (Weeks 3-4), Part 3 (Weeks 5-7). Week 5: running skeleton checkpoint and the Change Request.</t>
  </si>
  <si>
    <t>Week</t>
  </si>
  <si>
    <t>Milestone (fixed)</t>
  </si>
  <si>
    <t>Planned work</t>
  </si>
  <si>
    <t>Who (IDs)</t>
  </si>
  <si>
    <t>Deliverable</t>
  </si>
  <si>
    <t>Notes</t>
  </si>
  <si>
    <t>Part 1: requirements and proposal</t>
  </si>
  <si>
    <t>Week 2</t>
  </si>
  <si>
    <t>Part 1: Presentation 1 (Solution Pitch)</t>
  </si>
  <si>
    <t>Week 3</t>
  </si>
  <si>
    <t>Part 2: UML, CRC, architecture</t>
  </si>
  <si>
    <t>Week 4</t>
  </si>
  <si>
    <t>Part 2: Figma and Presentation 2 (Design Review)</t>
  </si>
  <si>
    <t>Part 3: running skeleton checkpoint, Change Request issued</t>
  </si>
  <si>
    <t>Week 6</t>
  </si>
  <si>
    <t>Part 3: implementation and QA</t>
  </si>
  <si>
    <t>Week 7</t>
  </si>
  <si>
    <t>Part 3: final demo, report and video</t>
  </si>
  <si>
    <t>Task board</t>
  </si>
  <si>
    <t>Task</t>
  </si>
  <si>
    <t>Related FR / UC</t>
  </si>
  <si>
    <t>Link / evidence</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</si>
  <si>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</si>
  <si>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</si>
  <si>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</si>
  <si>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</si>
  <si>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</si>
  <si>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</si>
  <si>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</si>
  <si>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</si>
  <si>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</si>
  <si>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</si>
  <si>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</si>
  <si>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</si>
  <si>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</si>
  <si>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</si>
  <si>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</si>
  <si>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</si>
  <si>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</si>
  <si>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</si>
  <si>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</si>
  <si>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</si>
  <si>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</si>
  <si>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</si>
  <si>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</si>
  <si>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</si>
  <si>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T25</t>
  </si>
  <si>
    <t>Risk list</t>
  </si>
  <si>
    <t>Risk description</t>
  </si>
  <si>
    <t>Likelihood</t>
  </si>
  <si>
    <t>Impact</t>
  </si>
  <si>
    <t>Score</t>
  </si>
  <si>
    <t>Mitigation / instructor comment</t>
  </si>
  <si>
    <t>R-01</t>
  </si>
  <si>
    <t>R-02</t>
  </si>
  <si>
    <t>R-03</t>
  </si>
  <si>
    <t>R-04</t>
  </si>
  <si>
    <t>R-05</t>
  </si>
  <si>
    <t>R-06</t>
  </si>
  <si>
    <t>R-07</t>
  </si>
  <si>
    <t>R-08</t>
  </si>
  <si>
    <t>Equivalence Partitioning and Boundary Value Planner</t>
  </si>
  <si>
    <t>Plan partitions and boundary values for every numeric threshold in BR1 to BR12 and BR14. At least 20 EP/BVA test cases in total.</t>
  </si>
  <si>
    <t>Rule</t>
  </si>
  <si>
    <t>Threshold under test</t>
  </si>
  <si>
    <t>Partitions (valid / invalid)</t>
  </si>
  <si>
    <t>Boundary values to test</t>
  </si>
  <si>
    <t>Test IDs (comma separated)</t>
  </si>
  <si>
    <t>Tests</t>
  </si>
  <si>
    <t>BR1</t>
  </si>
  <si>
    <t>Minimum order subtotal</t>
  </si>
  <si>
    <t>BR2</t>
  </si>
  <si>
    <t>Coverage distance</t>
  </si>
  <si>
    <t>BR3</t>
  </si>
  <si>
    <t>Delivery fee bands (distance)</t>
  </si>
  <si>
    <t>BR4</t>
  </si>
  <si>
    <t>Rush-hour windows (time)</t>
  </si>
  <si>
    <t>BR6</t>
  </si>
  <si>
    <t>Free-delivery threshold</t>
  </si>
  <si>
    <t>BR7</t>
  </si>
  <si>
    <t>Quiet Kitchen load threshold</t>
  </si>
  <si>
    <t>BR8</t>
  </si>
  <si>
    <t>Hub load protection</t>
  </si>
  <si>
    <t>BR9</t>
  </si>
  <si>
    <t>Voucher cap and minimum subtotal</t>
  </si>
  <si>
    <t>BR11</t>
  </si>
  <si>
    <t>Rounding to nearest 1,000</t>
  </si>
  <si>
    <t>BR12</t>
  </si>
  <si>
    <t>Quantity per line and lines per order</t>
  </si>
  <si>
    <t>BR14</t>
  </si>
  <si>
    <t>COD limit</t>
  </si>
  <si>
    <t>Other</t>
  </si>
  <si>
    <t>Any other threshold you found</t>
  </si>
  <si>
    <t>Total EP/BVA test cases planned</t>
  </si>
  <si>
    <t>EP/BVA tests recorded on the Test Cases sheet</t>
  </si>
  <si>
    <t>Check (need at least 20)</t>
  </si>
  <si>
    <t>Boundary values to think about: just below, exactly at, and just above each threshold (for example 49,999 / 50,000 / 50,001). Time windows are inclusive at the start and exclusive at the end.</t>
  </si>
  <si>
    <t>Table of test cases with Test ID, description, input, expected, actual and pass/fail, plus the FR and BR IDs each case covers.</t>
  </si>
  <si>
    <t>Test ID</t>
  </si>
  <si>
    <t>FR</t>
  </si>
  <si>
    <t>BR</t>
  </si>
  <si>
    <t>Technique</t>
  </si>
  <si>
    <t>Description</t>
  </si>
  <si>
    <t>Input data / steps</t>
  </si>
  <si>
    <t>Expected result</t>
  </si>
  <si>
    <t>Actual result</t>
  </si>
  <si>
    <t>Pass / fail</t>
  </si>
  <si>
    <t>Tested by (ID)</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</si>
  <si>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</si>
  <si>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</si>
  <si>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</si>
  <si>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</si>
  <si>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</si>
  <si>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</si>
  <si>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</si>
  <si>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</si>
  <si>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</si>
  <si>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</si>
  <si>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</si>
  <si>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</si>
  <si>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</si>
  <si>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</si>
  <si>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</si>
  <si>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</si>
  <si>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</si>
  <si>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</si>
  <si>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</si>
  <si>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</si>
  <si>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</si>
  <si>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</si>
  <si>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</si>
  <si>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</si>
  <si>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</si>
  <si>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</si>
  <si>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</si>
  <si>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</si>
  <si>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</si>
  <si>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</si>
  <si>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</si>
  <si>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</si>
  <si>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</si>
  <si>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</si>
  <si>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</si>
  <si>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</si>
  <si>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</si>
  <si>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</si>
  <si>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</si>
  <si>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</si>
  <si>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</si>
  <si>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</si>
  <si>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</si>
  <si>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</si>
  <si>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</si>
  <si>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</si>
  <si>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</si>
  <si>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</si>
  <si>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</si>
  <si>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</si>
  <si>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</si>
  <si>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</si>
  <si>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</si>
  <si>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</si>
  <si>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</si>
  <si>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</si>
  <si>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</si>
  <si>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</si>
  <si>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</si>
  <si>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</si>
  <si>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Pass</t>
  </si>
  <si>
    <t>Fail</t>
  </si>
  <si>
    <t>Not run</t>
  </si>
  <si>
    <t>Pass rate (of tests run)</t>
  </si>
  <si>
    <t>EP + BVA test cases (need 20)</t>
  </si>
  <si>
    <t>State tests (need 5 invalid)</t>
  </si>
  <si>
    <t>Order State Machine Tests (BR15)</t>
  </si>
  <si>
    <t>Cover every allowed transition, and try at least 5 invalid transitions. The business layer, not only the UI, must reject invalid ones.</t>
  </si>
  <si>
    <t>Allowed transitions (from the specification)</t>
  </si>
  <si>
    <t>From</t>
  </si>
  <si>
    <t>To</t>
  </si>
  <si>
    <t>Allowed actor</t>
  </si>
  <si>
    <t>Condition</t>
  </si>
  <si>
    <t>Covered by test ID</t>
  </si>
  <si>
    <t>Tested OK?</t>
  </si>
  <si>
    <t>Placed</t>
  </si>
  <si>
    <t>Confirmed</t>
  </si>
  <si>
    <t>Kitchen Staff</t>
  </si>
  <si>
    <t>Hub of the order</t>
  </si>
  <si>
    <t>Cancelled</t>
  </si>
  <si>
    <t>Customer or Kitchen Staff</t>
  </si>
  <si>
    <t>Kitchen must give a reason</t>
  </si>
  <si>
    <t>Preparing</t>
  </si>
  <si>
    <t>–</t>
  </si>
  <si>
    <t>Customer or Admin</t>
  </si>
  <si>
    <t>Ready</t>
  </si>
  <si>
    <t>Out for Delivery</t>
  </si>
  <si>
    <t>Shipper</t>
  </si>
  <si>
    <t>A shipper is assigned</t>
  </si>
  <si>
    <t>Delivered</t>
  </si>
  <si>
    <t>COD: cash confirmed (BR14)</t>
  </si>
  <si>
    <t>Failed</t>
  </si>
  <si>
    <t>Customer unreachable</t>
  </si>
  <si>
    <t>Coverage</t>
  </si>
  <si>
    <t>Invalid transition tests (at least 5)</t>
  </si>
  <si>
    <t>Test ID in Test Cases</t>
  </si>
  <si>
    <t>From state</t>
  </si>
  <si>
    <t>Attempted state</t>
  </si>
  <si>
    <t>Actor</t>
  </si>
  <si>
    <t>S-01</t>
  </si>
  <si>
    <t>S-02</t>
  </si>
  <si>
    <t>S-03</t>
  </si>
  <si>
    <t>S-04</t>
  </si>
  <si>
    <t>S-05</t>
  </si>
  <si>
    <t>S-06</t>
  </si>
  <si>
    <t>S-07</t>
  </si>
  <si>
    <t>S-08</t>
  </si>
  <si>
    <t>S-09</t>
  </si>
  <si>
    <t>S-10</t>
  </si>
  <si>
    <t>S-11</t>
  </si>
  <si>
    <t>S-12</t>
  </si>
  <si>
    <t>S-13</t>
  </si>
  <si>
    <t>S-14</t>
  </si>
  <si>
    <t>S-15</t>
  </si>
  <si>
    <t>Invalid tests recorded</t>
  </si>
  <si>
    <t>Check (need at least 5)</t>
  </si>
  <si>
    <t>Examples of invalid moves: Delivered to Preparing, Cancelled to Confirmed, Preparing to Cancelled, Ready to Delivered, Placed to Ready.</t>
  </si>
  <si>
    <t>Requirements Traceability Matrix</t>
  </si>
  <si>
    <t>Links every FR and NFR to its use case, design element, code component and test cases. IDs and requirement text come from the Requirements sheet.</t>
  </si>
  <si>
    <t>Design element (diagram / class)</t>
  </si>
  <si>
    <t>Code component (class / file)</t>
  </si>
  <si>
    <t>Test IDs</t>
  </si>
  <si>
    <t>Verdict</t>
  </si>
  <si>
    <t>No test?</t>
  </si>
  <si>
    <t>Requirements with a verdict of Pass</t>
  </si>
  <si>
    <t>Requirements without any test ID</t>
  </si>
  <si>
    <t>Change Request Impact Note</t>
  </si>
  <si>
    <t>Issued by the instructor in Week 5 (for example a new payment method or pricing rule). A well-designed system absorbs it with small, local changes.</t>
  </si>
  <si>
    <t>Impact note</t>
  </si>
  <si>
    <t>Item</t>
  </si>
  <si>
    <t>Your answer</t>
  </si>
  <si>
    <t>Change Request (what was asked)</t>
  </si>
  <si>
    <t>Date received</t>
  </si>
  <si>
    <t>Requirements affected (FR / BR)</t>
  </si>
  <si>
    <t>Summary of the solution</t>
  </si>
  <si>
    <t>Effort (hours) and who did it</t>
  </si>
  <si>
    <t>What was easy or hard, and why</t>
  </si>
  <si>
    <t>Existing payment classes edited? (should be No)</t>
  </si>
  <si>
    <t>Class change list</t>
  </si>
  <si>
    <t>Class / file</t>
  </si>
  <si>
    <t>What changed</t>
  </si>
  <si>
    <t>Added or modified</t>
  </si>
  <si>
    <t>Existing payment class?</t>
  </si>
  <si>
    <t>Commit link (evidence)</t>
  </si>
  <si>
    <t>Classes added</t>
  </si>
  <si>
    <t>Classes modified</t>
  </si>
  <si>
    <t>Existing payment classes modified</t>
  </si>
  <si>
    <t>Modifying an existing payment class (red row) suggests the Strategy pattern was not applied well. Explain it in the impact note.</t>
  </si>
  <si>
    <t>The tier cap applies only if the delivered system really uses the stack of the tier (a mixed stack is graded at the lower tier).</t>
  </si>
  <si>
    <t>#</t>
  </si>
  <si>
    <t>Student</t>
  </si>
  <si>
    <t>Instructor</t>
  </si>
  <si>
    <t>Notes / evidence</t>
  </si>
  <si>
    <t>All tiers</t>
  </si>
  <si>
    <t>Delivered stack matches the chosen tier</t>
  </si>
  <si>
    <t>3-Tier (Tier 1) or MVC (other tiers) is enforced in the code, not only in the diagrams</t>
  </si>
  <si>
    <t>Web tiers use Bootstrap (responsive grid)</t>
  </si>
  <si>
    <t>Payment methods use the Strategy pattern (interface, one class per method, selection by actor type)</t>
  </si>
  <si>
    <t>Pricing rules BR1 to BR14 live in one business-layer module, not in the UI</t>
  </si>
  <si>
    <t>Order state machine is enforced in the business layer (BR15)</t>
  </si>
  <si>
    <t>Both reports R1 (Revenue) and R2 (Hub Utilization) work</t>
  </si>
  <si>
    <t>Tagged GitHub release is the submission; the application runs from it</t>
  </si>
  <si>
    <t>Tier 4 only</t>
  </si>
  <si>
    <t>(a) Live sandbox API integration (VNPay Sandbox or PayPal Developer) works</t>
  </si>
  <si>
    <t>(b) Interactive Admin dashboard</t>
  </si>
  <si>
    <t>(c) Automated tests of core workflows (for example Selenium or Playwright) with logs</t>
  </si>
  <si>
    <t>Contribution Statement Draft and GitHub Commits</t>
  </si>
  <si>
    <t>More than 10 meaningful commits per student, touching the student's own use case. The signed one-page Contribution Statement is handed in at the start of Part 3.</t>
  </si>
  <si>
    <t>Commits on GitHub</t>
  </si>
  <si>
    <t>Use case(s) owned</t>
  </si>
  <si>
    <t>Classes, components and report sections owned</t>
  </si>
  <si>
    <t>Evidence (commit links, pull requests)</t>
  </si>
  <si>
    <t>Commit counts of 10 or fewer are highlighted red. The Contribution Factor (0.70 to 1.00) uses this sheet, the GitHub history, the signed statement, the peer review and the individual questions in Presentations 2 and 3.</t>
  </si>
  <si>
    <t>Weekly contribution log (optional but recommended)</t>
  </si>
  <si>
    <t>What I did</t>
  </si>
  <si>
    <t>Hours</t>
  </si>
  <si>
    <t>Commit / link</t>
  </si>
  <si>
    <t>Blockers</t>
  </si>
  <si>
    <t>Generative AI Usage Log</t>
  </si>
  <si>
    <t>One row per use. Keep the full prompts and outputs in a separate file (Appendix B) and hand them over within 48 hours if asked.</t>
  </si>
  <si>
    <t>Tool and date</t>
  </si>
  <si>
    <t>Prompt (summary)</t>
  </si>
  <si>
    <t>What you kept or changed</t>
  </si>
  <si>
    <t>How you verified it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</si>
  <si>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</si>
  <si>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</si>
  <si>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</si>
  <si>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</si>
  <si>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</si>
  <si>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</si>
  <si>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</si>
  <si>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</si>
  <si>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</si>
  <si>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</si>
  <si>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</si>
  <si>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</si>
  <si>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</si>
  <si>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</si>
  <si>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</si>
  <si>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</si>
  <si>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</si>
  <si>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</si>
  <si>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</si>
  <si>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</si>
  <si>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</si>
  <si>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</si>
  <si>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</si>
  <si>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</si>
  <si>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</si>
  <si>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</si>
  <si>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</si>
  <si>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</si>
  <si>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</si>
  <si>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</si>
  <si>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</si>
  <si>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</si>
  <si>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</si>
  <si>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</si>
  <si>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</si>
  <si>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</si>
  <si>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</si>
  <si>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</si>
  <si>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</si>
  <si>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</si>
  <si>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The final report must show that you applied the feedback from the previous presentations. Record each item and what you changed.</t>
  </si>
  <si>
    <t>Source</t>
  </si>
  <si>
    <t>Feedback received</t>
  </si>
  <si>
    <t>What we changed and where</t>
  </si>
  <si>
    <t>Report section</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</si>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</sst>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5"/>
      <color rgb="FF1F3A5F"/>
      <name val="Arial"/>
      <charset val="1"/>
    </font>
    <font>
      <i/>
      <sz val="10"/>
      <color rgb="FF595959"/>
      <name val="Arial"/>
      <charset val="1"/>
    </font>
    <font>
      <b/>
      <sz val="12"/>
      <color rgb="FF1F3A5F"/>
      <name val="Arial"/>
      <charset val="1"/>
    </font>
    <font>
      <sz val="10"/>
      <color rgb="FF000000"/>
      <name val="Arial"/>
      <charset val="1"/>
    </font>
    <font>
      <sz val="10"/>
      <color rgb="FF0000FF"/>
      <name val="Arial"/>
      <charset val="1"/>
    </font>
    <font>
      <b/>
      <sz val="10"/>
      <color rgb="FFFFFFFF"/>
      <name val="Arial"/>
      <charset val="1"/>
    </font>
    <font>
      <b/>
      <sz val="10"/>
      <color rgb="FF000000"/>
      <name val="Arial"/>
      <charset val="1"/>
    </font>
    <font>
      <i/>
      <sz val="9"/>
      <color rgb="FF595959"/>
      <name val="Arial"/>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left/>
      <right/>
      <top/>
      <bottom/>
      <diagonal/>
    </border>
    <border>
      <left style="thin">
        <color rgb="FFB7C3D3"/>
      </left>
      <right style="thin">
        <color rgb="FFB7C3D3"/>
      </right>
      <top style="thin">
        <color rgb="FFB7C3D3"/>
      </top>
      <bottom style="thin">
        <color rgb="FFB7C3D3"/>
      </bottom>
      <diagonal/>
    </border>
  </borders>
  <cellStyleXfs count="1">
    <xf numFmtId="0" fontId="0" fillId="0" borderId="0"/>
  </cellStyleXfs>
  <cellXfs count="28">
    <xf numFmtId="0" fontId="0" fillId="0" borderId="0" xfId="0"/>
    <xf numFmtId="0" fontId="4" fillId="0" borderId="1" xfId="0" applyFont="1" applyBorder="1" applyAlignment="1">
      <alignment vertical="top" wrapText="1"/>
    </xf>
    <xf numFmtId="0" fontId="6" fillId="4" borderId="1" xfId="0" applyFont="1" applyFill="1" applyBorder="1" applyAlignment="1">
      <alignment horizontal="center" vertical="center" wrapText="1"/>
    </xf>
    <xf numFmtId="0" fontId="7" fillId="5" borderId="1" xfId="0" applyFont="1" applyFill="1" applyBorder="1" applyAlignment="1">
      <alignment vertical="top" wrapText="1"/>
    </xf>
    <xf numFmtId="0" fontId="5" fillId="3" borderId="1" xfId="0" applyFont="1" applyFill="1" applyBorder="1" applyAlignment="1">
      <alignment vertical="top" wrapText="1"/>
    </xf>
    <xf numFmtId="0" fontId="5" fillId="2" borderId="1" xfId="0" applyFont="1" applyFill="1" applyBorder="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5"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5" borderId="1" xfId="0" applyFont="1" applyFill="1" applyBorder="1" applyAlignment="1">
      <alignment vertical="top"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0" xfId="0" applyFont="1"/>
    <xf numFmtId="164" fontId="5"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cellXfs>
  <cellStyles count="1">
    <cellStyle name="Normal" xfId="0" builtinId="0"/>
  </cellStyles>
  <dxfs count="19">
    <dxf>
      <font>
        <b/>
        <color rgb="FF9C0006"/>
        <name val="Arial"/>
        <charset val="1"/>
      </font>
      <fill>
        <patternFill>
          <bgColor rgb="FFFDE2E2"/>
        </patternFill>
      </fill>
    </dxf>
    <dxf>
      <font>
        <b/>
        <color rgb="FF595959"/>
        <name val="Arial"/>
        <charset val="1"/>
      </font>
      <fill>
        <patternFill>
          <bgColor rgb="FFE7E6E6"/>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595959"/>
        <name val="Arial"/>
        <charset val="1"/>
      </font>
      <fill>
        <patternFill>
          <bgColor rgb="FFE7E6E6"/>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595959"/>
        <name val="Arial"/>
        <charset val="1"/>
      </font>
      <fill>
        <patternFill>
          <bgColor rgb="FFE7E6E6"/>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2"/>
  <sheetViews>
    <sheetView showGridLines="0" tabSelected="1" zoomScaleNormal="100" workbookViewId="0"/>
  </sheetViews>
  <sheetFormatPr defaultColWidth="8.7109375" defaultRowHeight="15" x14ac:dyDescent="0.25"/>
  <cols>
    <col min="1" max="1" width="30" customWidth="1"/>
    <col min="2" max="2" width="36" customWidth="1"/>
    <col min="3" max="3" width="56" customWidth="1"/>
    <col min="4" max="4" width="30" customWidth="1"/>
  </cols>
  <sheetData>
    <row r="1" spans="1:4" ht="19.5" x14ac:dyDescent="0.3">
      <c r="A1" s="7" t="s">
        <v>0</v>
      </c>
    </row>
    <row r="2" spans="1:4" x14ac:dyDescent="0.25">
      <c r="A2" s="8" t="s">
        <v>1</v>
      </c>
    </row>
    <row r="4" spans="1:4" ht="15.75" x14ac:dyDescent="0.25">
      <c r="A4" s="9" t="s">
        <v>2</v>
      </c>
    </row>
    <row r="5" spans="1:4" ht="61.5" customHeight="1" x14ac:dyDescent="0.25">
      <c r="A5" s="6" t="s">
        <v>3</v>
      </c>
      <c r="B5" s="6"/>
      <c r="C5" s="6"/>
      <c r="D5" s="6"/>
    </row>
    <row r="7" spans="1:4" ht="15.75" x14ac:dyDescent="0.25">
      <c r="A7" s="9" t="s">
        <v>4</v>
      </c>
    </row>
    <row r="8" spans="1:4" ht="31.5" customHeight="1" x14ac:dyDescent="0.25">
      <c r="A8" s="6" t="s">
        <v>5</v>
      </c>
      <c r="B8" s="6"/>
      <c r="C8" s="6"/>
      <c r="D8" s="6"/>
    </row>
    <row r="9" spans="1:4" ht="31.5" customHeight="1" x14ac:dyDescent="0.25">
      <c r="A9" s="6" t="s">
        <v>6</v>
      </c>
      <c r="B9" s="6"/>
      <c r="C9" s="6"/>
      <c r="D9" s="6"/>
    </row>
    <row r="10" spans="1:4" ht="31.5" customHeight="1" x14ac:dyDescent="0.25">
      <c r="A10" s="6" t="s">
        <v>7</v>
      </c>
      <c r="B10" s="6"/>
      <c r="C10" s="6"/>
      <c r="D10" s="6"/>
    </row>
    <row r="11" spans="1:4" ht="31.5" customHeight="1" x14ac:dyDescent="0.25">
      <c r="A11" s="6" t="s">
        <v>8</v>
      </c>
      <c r="B11" s="6"/>
      <c r="C11" s="6"/>
      <c r="D11" s="6"/>
    </row>
    <row r="13" spans="1:4" ht="15.75" x14ac:dyDescent="0.25">
      <c r="A13" s="9" t="s">
        <v>9</v>
      </c>
    </row>
    <row r="14" spans="1:4" x14ac:dyDescent="0.25">
      <c r="A14" s="10" t="s">
        <v>10</v>
      </c>
      <c r="B14" s="11" t="s">
        <v>11</v>
      </c>
    </row>
    <row r="15" spans="1:4" x14ac:dyDescent="0.25">
      <c r="A15" s="12" t="s">
        <v>12</v>
      </c>
      <c r="B15" s="11" t="s">
        <v>13</v>
      </c>
    </row>
    <row r="16" spans="1:4" x14ac:dyDescent="0.25">
      <c r="A16" s="11" t="s">
        <v>14</v>
      </c>
      <c r="B16" s="11" t="s">
        <v>15</v>
      </c>
    </row>
    <row r="18" spans="1:4" ht="15.75" x14ac:dyDescent="0.25">
      <c r="A18" s="9" t="s">
        <v>16</v>
      </c>
    </row>
    <row r="19" spans="1:4" x14ac:dyDescent="0.25">
      <c r="A19" s="13" t="s">
        <v>17</v>
      </c>
      <c r="B19" s="13" t="s">
        <v>18</v>
      </c>
      <c r="C19" s="13" t="s">
        <v>19</v>
      </c>
      <c r="D19" s="13" t="s">
        <v>20</v>
      </c>
    </row>
    <row r="20" spans="1:4" ht="31.5" customHeight="1" x14ac:dyDescent="0.25">
      <c r="A20" s="14" t="s">
        <v>21</v>
      </c>
      <c r="B20" s="11" t="s">
        <v>22</v>
      </c>
      <c r="C20" s="11" t="s">
        <v>23</v>
      </c>
      <c r="D20" s="11" t="s">
        <v>24</v>
      </c>
    </row>
    <row r="21" spans="1:4" ht="31.5" customHeight="1" x14ac:dyDescent="0.25">
      <c r="A21" s="14" t="s">
        <v>25</v>
      </c>
      <c r="B21" s="11" t="s">
        <v>26</v>
      </c>
      <c r="C21" s="11" t="s">
        <v>23</v>
      </c>
      <c r="D21" s="11" t="s">
        <v>27</v>
      </c>
    </row>
    <row r="22" spans="1:4" ht="31.5" customHeight="1" x14ac:dyDescent="0.25">
      <c r="A22" s="14" t="s">
        <v>28</v>
      </c>
      <c r="B22" s="11" t="s">
        <v>29</v>
      </c>
      <c r="C22" s="11" t="s">
        <v>30</v>
      </c>
      <c r="D22" s="11" t="s">
        <v>31</v>
      </c>
    </row>
    <row r="23" spans="1:4" ht="31.5" customHeight="1" x14ac:dyDescent="0.25">
      <c r="A23" s="14" t="s">
        <v>32</v>
      </c>
      <c r="B23" s="11" t="s">
        <v>33</v>
      </c>
      <c r="C23" s="11" t="s">
        <v>34</v>
      </c>
      <c r="D23" s="11" t="s">
        <v>35</v>
      </c>
    </row>
    <row r="24" spans="1:4" ht="31.5" customHeight="1" x14ac:dyDescent="0.25">
      <c r="A24" s="14" t="s">
        <v>36</v>
      </c>
      <c r="B24" s="11" t="s">
        <v>37</v>
      </c>
      <c r="C24" s="11" t="s">
        <v>38</v>
      </c>
      <c r="D24" s="11" t="s">
        <v>39</v>
      </c>
    </row>
    <row r="25" spans="1:4" ht="31.5" customHeight="1" x14ac:dyDescent="0.25">
      <c r="A25" s="14" t="s">
        <v>40</v>
      </c>
      <c r="B25" s="11" t="s">
        <v>41</v>
      </c>
      <c r="C25" s="11" t="s">
        <v>38</v>
      </c>
      <c r="D25" s="11" t="s">
        <v>42</v>
      </c>
    </row>
    <row r="26" spans="1:4" ht="31.5" customHeight="1" x14ac:dyDescent="0.25">
      <c r="A26" s="14" t="s">
        <v>43</v>
      </c>
      <c r="B26" s="11" t="s">
        <v>44</v>
      </c>
      <c r="C26" s="11" t="s">
        <v>38</v>
      </c>
      <c r="D26" s="11" t="s">
        <v>42</v>
      </c>
    </row>
    <row r="27" spans="1:4" ht="31.5" customHeight="1" x14ac:dyDescent="0.25">
      <c r="A27" s="14" t="s">
        <v>45</v>
      </c>
      <c r="B27" s="11" t="s">
        <v>46</v>
      </c>
      <c r="C27" s="11" t="s">
        <v>42</v>
      </c>
      <c r="D27" s="11" t="s">
        <v>31</v>
      </c>
    </row>
    <row r="28" spans="1:4" ht="31.5" customHeight="1" x14ac:dyDescent="0.25">
      <c r="A28" s="14" t="s">
        <v>47</v>
      </c>
      <c r="B28" s="11" t="s">
        <v>48</v>
      </c>
      <c r="C28" s="11" t="s">
        <v>49</v>
      </c>
      <c r="D28" s="11" t="s">
        <v>50</v>
      </c>
    </row>
    <row r="29" spans="1:4" ht="31.5" customHeight="1" x14ac:dyDescent="0.25">
      <c r="A29" s="14" t="s">
        <v>51</v>
      </c>
      <c r="B29" s="11" t="s">
        <v>52</v>
      </c>
      <c r="C29" s="11" t="s">
        <v>53</v>
      </c>
      <c r="D29" s="11" t="s">
        <v>35</v>
      </c>
    </row>
    <row r="30" spans="1:4" ht="31.5" customHeight="1" x14ac:dyDescent="0.25">
      <c r="A30" s="14" t="s">
        <v>54</v>
      </c>
      <c r="B30" s="11" t="s">
        <v>55</v>
      </c>
      <c r="C30" s="11" t="s">
        <v>56</v>
      </c>
      <c r="D30" s="11" t="s">
        <v>35</v>
      </c>
    </row>
    <row r="31" spans="1:4" ht="31.5" customHeight="1" x14ac:dyDescent="0.25">
      <c r="A31" s="14" t="s">
        <v>57</v>
      </c>
      <c r="B31" s="11" t="s">
        <v>58</v>
      </c>
      <c r="C31" s="11" t="s">
        <v>59</v>
      </c>
      <c r="D31" s="11" t="s">
        <v>35</v>
      </c>
    </row>
    <row r="32" spans="1:4" ht="31.5" customHeight="1" x14ac:dyDescent="0.25">
      <c r="A32" s="14" t="s">
        <v>60</v>
      </c>
      <c r="B32" s="11" t="s">
        <v>61</v>
      </c>
      <c r="C32" s="11" t="s">
        <v>62</v>
      </c>
      <c r="D32" s="11" t="s">
        <v>63</v>
      </c>
    </row>
  </sheetData>
  <mergeCells count="5">
    <mergeCell ref="A5:D5"/>
    <mergeCell ref="A8:D8"/>
    <mergeCell ref="A9:D9"/>
    <mergeCell ref="A10:D10"/>
    <mergeCell ref="A11:D11"/>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1"/>
  <sheetViews>
    <sheetView showGridLines="0" zoomScaleNormal="100" workbookViewId="0"/>
  </sheetViews>
  <sheetFormatPr defaultColWidth="8.7109375" defaultRowHeight="15" x14ac:dyDescent="0.25"/>
  <cols>
    <col min="1" max="1" width="16" customWidth="1"/>
    <col min="2" max="2" width="28" customWidth="1"/>
    <col min="3" max="3" width="16" customWidth="1"/>
    <col min="4" max="4" width="26" customWidth="1"/>
    <col min="5" max="6" width="16" customWidth="1"/>
    <col min="7" max="7" width="34" customWidth="1"/>
    <col min="8" max="8" width="26" customWidth="1"/>
  </cols>
  <sheetData>
    <row r="1" spans="1:7" ht="19.5" x14ac:dyDescent="0.3">
      <c r="A1" s="7" t="s">
        <v>64</v>
      </c>
    </row>
    <row r="2" spans="1:7" x14ac:dyDescent="0.25">
      <c r="A2" s="8" t="s">
        <v>65</v>
      </c>
    </row>
    <row r="4" spans="1:7" x14ac:dyDescent="0.25">
      <c r="A4" s="15" t="s">
        <v>66</v>
      </c>
      <c r="B4" s="5"/>
      <c r="C4" s="5"/>
    </row>
    <row r="5" spans="1:7" x14ac:dyDescent="0.25">
      <c r="A5" s="15" t="s">
        <v>67</v>
      </c>
      <c r="B5" s="5"/>
      <c r="C5" s="5"/>
    </row>
    <row r="6" spans="1:7" x14ac:dyDescent="0.25">
      <c r="A6" s="15" t="s">
        <v>68</v>
      </c>
      <c r="B6" s="16" t="str">
        <f>IF(B7&lt;&gt;"",IFERROR(VLOOKUP(B7,$A$37:$B$41,2,FALSE()),""),IFERROR(VLOOKUP(B5,$A$37:$B$41,2,FALSE()),""))</f>
        <v/>
      </c>
    </row>
    <row r="7" spans="1:7" ht="25.5" x14ac:dyDescent="0.25">
      <c r="A7" s="15" t="s">
        <v>69</v>
      </c>
      <c r="B7" s="4"/>
      <c r="C7" s="4"/>
    </row>
    <row r="8" spans="1:7" x14ac:dyDescent="0.25">
      <c r="A8" s="15" t="s">
        <v>70</v>
      </c>
      <c r="B8" s="17">
        <f>COUNTA(B11:B13)</f>
        <v>0</v>
      </c>
    </row>
    <row r="10" spans="1:7" ht="39.75" customHeight="1" x14ac:dyDescent="0.25">
      <c r="A10" s="13" t="s">
        <v>71</v>
      </c>
      <c r="B10" s="18" t="s">
        <v>72</v>
      </c>
      <c r="C10" s="18" t="s">
        <v>73</v>
      </c>
      <c r="D10" s="18" t="s">
        <v>74</v>
      </c>
      <c r="E10" s="13" t="s">
        <v>75</v>
      </c>
      <c r="F10" s="13" t="s">
        <v>76</v>
      </c>
      <c r="G10" s="13" t="s">
        <v>77</v>
      </c>
    </row>
    <row r="11" spans="1:7" ht="27.75" customHeight="1" x14ac:dyDescent="0.25">
      <c r="A11" s="15" t="s">
        <v>78</v>
      </c>
      <c r="B11" s="10"/>
      <c r="C11" s="10"/>
      <c r="D11" s="10"/>
      <c r="E11" s="17" t="str">
        <f>IF(C11="","",COUNTIF($F$18:$F$25,C11))</f>
        <v/>
      </c>
      <c r="F11" s="17" t="str">
        <f>IF(C11="","",'Contribution &amp; Commits'!D5)</f>
        <v/>
      </c>
      <c r="G11" s="17" t="str">
        <f>IF(C11="","",IF(E11&gt;=1,"OK","Needs at least 1 main use case"))</f>
        <v/>
      </c>
    </row>
    <row r="12" spans="1:7" ht="27.75" customHeight="1" x14ac:dyDescent="0.25">
      <c r="A12" s="15" t="s">
        <v>79</v>
      </c>
      <c r="B12" s="10"/>
      <c r="C12" s="10"/>
      <c r="D12" s="10"/>
      <c r="E12" s="17" t="str">
        <f>IF(C12="","",COUNTIF($F$18:$F$25,C12))</f>
        <v/>
      </c>
      <c r="F12" s="17" t="str">
        <f>IF(C12="","",'Contribution &amp; Commits'!D6)</f>
        <v/>
      </c>
      <c r="G12" s="17" t="str">
        <f>IF(C12="","",IF(E12&gt;=1,"OK","Needs at least 1 main use case"))</f>
        <v/>
      </c>
    </row>
    <row r="13" spans="1:7" ht="27.75" customHeight="1" x14ac:dyDescent="0.25">
      <c r="A13" s="15" t="s">
        <v>80</v>
      </c>
      <c r="B13" s="10"/>
      <c r="C13" s="10"/>
      <c r="D13" s="10"/>
      <c r="E13" s="17" t="str">
        <f>IF(C13="","",COUNTIF($F$18:$F$25,C13))</f>
        <v/>
      </c>
      <c r="F13" s="17" t="str">
        <f>IF(C13="","",'Contribution &amp; Commits'!D7)</f>
        <v/>
      </c>
      <c r="G13" s="17" t="str">
        <f>IF(C13="","",IF(E13&gt;=1,"OK","Needs at least 1 main use case"))</f>
        <v/>
      </c>
    </row>
    <row r="16" spans="1:7" ht="15.75" x14ac:dyDescent="0.25">
      <c r="A16" s="9" t="s">
        <v>81</v>
      </c>
    </row>
    <row r="17" spans="1:7" ht="33.75" customHeight="1" x14ac:dyDescent="0.25">
      <c r="A17" s="13" t="s">
        <v>82</v>
      </c>
      <c r="B17" s="18" t="s">
        <v>83</v>
      </c>
      <c r="C17" s="18" t="s">
        <v>84</v>
      </c>
      <c r="D17" s="18" t="s">
        <v>85</v>
      </c>
      <c r="E17" s="18" t="s">
        <v>86</v>
      </c>
      <c r="F17" s="18" t="s">
        <v>87</v>
      </c>
      <c r="G17" s="19" t="s">
        <v>88</v>
      </c>
    </row>
    <row r="18" spans="1:7" ht="31.5" customHeight="1" x14ac:dyDescent="0.25">
      <c r="A18" s="20" t="s">
        <v>89</v>
      </c>
      <c r="B18" s="10"/>
      <c r="C18" s="10"/>
      <c r="D18" s="10"/>
      <c r="E18" s="10"/>
      <c r="F18" s="10"/>
      <c r="G18" s="12"/>
    </row>
    <row r="19" spans="1:7" ht="31.5" customHeight="1" x14ac:dyDescent="0.25">
      <c r="A19" s="20" t="s">
        <v>90</v>
      </c>
      <c r="B19" s="10"/>
      <c r="C19" s="10"/>
      <c r="D19" s="10"/>
      <c r="E19" s="10"/>
      <c r="F19" s="10"/>
      <c r="G19" s="12"/>
    </row>
    <row r="20" spans="1:7" ht="31.5" customHeight="1" x14ac:dyDescent="0.25">
      <c r="A20" s="20" t="s">
        <v>91</v>
      </c>
      <c r="B20" s="10"/>
      <c r="C20" s="10"/>
      <c r="D20" s="10"/>
      <c r="E20" s="10"/>
      <c r="F20" s="10"/>
      <c r="G20" s="12"/>
    </row>
    <row r="21" spans="1:7" ht="31.5" customHeight="1" x14ac:dyDescent="0.25">
      <c r="A21" s="20" t="s">
        <v>92</v>
      </c>
      <c r="B21" s="10"/>
      <c r="C21" s="10"/>
      <c r="D21" s="10"/>
      <c r="E21" s="10"/>
      <c r="F21" s="10"/>
      <c r="G21" s="12"/>
    </row>
    <row r="22" spans="1:7" ht="31.5" customHeight="1" x14ac:dyDescent="0.25">
      <c r="A22" s="20" t="s">
        <v>93</v>
      </c>
      <c r="B22" s="10"/>
      <c r="C22" s="10"/>
      <c r="D22" s="10"/>
      <c r="E22" s="10"/>
      <c r="F22" s="10"/>
      <c r="G22" s="12"/>
    </row>
    <row r="23" spans="1:7" ht="31.5" customHeight="1" x14ac:dyDescent="0.25">
      <c r="A23" s="20" t="s">
        <v>94</v>
      </c>
      <c r="B23" s="10"/>
      <c r="C23" s="10"/>
      <c r="D23" s="10"/>
      <c r="E23" s="10"/>
      <c r="F23" s="10"/>
      <c r="G23" s="12"/>
    </row>
    <row r="24" spans="1:7" ht="31.5" customHeight="1" x14ac:dyDescent="0.25">
      <c r="A24" s="20" t="s">
        <v>95</v>
      </c>
      <c r="B24" s="10"/>
      <c r="C24" s="10"/>
      <c r="D24" s="10"/>
      <c r="E24" s="10"/>
      <c r="F24" s="10"/>
      <c r="G24" s="12"/>
    </row>
    <row r="25" spans="1:7" ht="31.5" customHeight="1" x14ac:dyDescent="0.25">
      <c r="A25" s="20" t="s">
        <v>96</v>
      </c>
      <c r="B25" s="10"/>
      <c r="C25" s="10"/>
      <c r="D25" s="10"/>
      <c r="E25" s="10"/>
      <c r="F25" s="10"/>
      <c r="G25" s="12"/>
    </row>
    <row r="27" spans="1:7" ht="15" customHeight="1" x14ac:dyDescent="0.25">
      <c r="A27" s="3" t="s">
        <v>97</v>
      </c>
      <c r="B27" s="3"/>
      <c r="C27" s="3"/>
      <c r="D27" s="17" t="str">
        <f>IF(SUMPRODUCT((ISNUMBER(SEARCH("Place and Manage Orders",B18:B25)))*(F18:F25&lt;&gt;""))&gt;0,"OK","Missing owner")</f>
        <v>Missing owner</v>
      </c>
    </row>
    <row r="28" spans="1:7" ht="15" customHeight="1" x14ac:dyDescent="0.25">
      <c r="A28" s="3" t="s">
        <v>98</v>
      </c>
      <c r="B28" s="3"/>
      <c r="C28" s="3"/>
      <c r="D28" s="10"/>
    </row>
    <row r="29" spans="1:7" x14ac:dyDescent="0.25">
      <c r="A29" s="21" t="s">
        <v>99</v>
      </c>
    </row>
    <row r="35" spans="1:7" ht="15.75" x14ac:dyDescent="0.25">
      <c r="A35" s="9" t="s">
        <v>100</v>
      </c>
    </row>
    <row r="36" spans="1:7" ht="15" customHeight="1" x14ac:dyDescent="0.25">
      <c r="A36" s="13" t="s">
        <v>101</v>
      </c>
      <c r="B36" s="13" t="s">
        <v>102</v>
      </c>
      <c r="C36" s="2" t="s">
        <v>103</v>
      </c>
      <c r="D36" s="2"/>
      <c r="E36" s="2"/>
      <c r="F36" s="2"/>
      <c r="G36" s="2"/>
    </row>
    <row r="37" spans="1:7" ht="15" customHeight="1" x14ac:dyDescent="0.25">
      <c r="A37" s="14" t="s">
        <v>104</v>
      </c>
      <c r="B37" s="22">
        <v>7</v>
      </c>
      <c r="C37" s="1" t="s">
        <v>105</v>
      </c>
      <c r="D37" s="1"/>
      <c r="E37" s="1"/>
      <c r="F37" s="1"/>
      <c r="G37" s="1"/>
    </row>
    <row r="38" spans="1:7" ht="15" customHeight="1" x14ac:dyDescent="0.25">
      <c r="A38" s="14" t="s">
        <v>106</v>
      </c>
      <c r="B38" s="22">
        <v>7.5</v>
      </c>
      <c r="C38" s="1" t="s">
        <v>107</v>
      </c>
      <c r="D38" s="1"/>
      <c r="E38" s="1"/>
      <c r="F38" s="1"/>
      <c r="G38" s="1"/>
    </row>
    <row r="39" spans="1:7" ht="15" customHeight="1" x14ac:dyDescent="0.25">
      <c r="A39" s="14" t="s">
        <v>108</v>
      </c>
      <c r="B39" s="22">
        <v>8.5</v>
      </c>
      <c r="C39" s="1" t="s">
        <v>109</v>
      </c>
      <c r="D39" s="1"/>
      <c r="E39" s="1"/>
      <c r="F39" s="1"/>
      <c r="G39" s="1"/>
    </row>
    <row r="40" spans="1:7" ht="15" customHeight="1" x14ac:dyDescent="0.25">
      <c r="A40" s="14" t="s">
        <v>110</v>
      </c>
      <c r="B40" s="22">
        <v>9.5</v>
      </c>
      <c r="C40" s="1" t="s">
        <v>111</v>
      </c>
      <c r="D40" s="1"/>
      <c r="E40" s="1"/>
      <c r="F40" s="1"/>
      <c r="G40" s="1"/>
    </row>
    <row r="41" spans="1:7" ht="15" customHeight="1" x14ac:dyDescent="0.25">
      <c r="A41" s="14" t="s">
        <v>112</v>
      </c>
      <c r="B41" s="22">
        <v>10</v>
      </c>
      <c r="C41" s="1" t="s">
        <v>113</v>
      </c>
      <c r="D41" s="1"/>
      <c r="E41" s="1"/>
      <c r="F41" s="1"/>
      <c r="G41" s="1"/>
    </row>
  </sheetData>
  <mergeCells count="11">
    <mergeCell ref="C41:G41"/>
    <mergeCell ref="C36:G36"/>
    <mergeCell ref="C37:G37"/>
    <mergeCell ref="C38:G38"/>
    <mergeCell ref="C39:G39"/>
    <mergeCell ref="C40:G40"/>
    <mergeCell ref="B4:C4"/>
    <mergeCell ref="B5:C5"/>
    <mergeCell ref="B7:C7"/>
    <mergeCell ref="A27:C27"/>
    <mergeCell ref="A28:C28"/>
  </mergeCells>
  <conditionalFormatting sqref="D27">
    <cfRule type="expression" dxfId="18" priority="3">
      <formula>D27="Missing owner"</formula>
    </cfRule>
  </conditionalFormatting>
  <conditionalFormatting sqref="G11:G13">
    <cfRule type="expression" dxfId="17" priority="2">
      <formula>G11="Needs at least 1 main use case"</formula>
    </cfRule>
  </conditionalFormatting>
  <dataValidations count="3">
    <dataValidation type="list" allowBlank="1" sqref="B5 B7" xr:uid="{00000000-0002-0000-0100-000000000000}">
      <formula1>"Tier 1,Tier 1B,Tier 2,Tier 3,Tier 4"</formula1>
      <formula2>0</formula2>
    </dataValidation>
    <dataValidation type="list" allowBlank="1" showErrorMessage="1" error="Choose a value from the list." sqref="C18:C25" xr:uid="{00000000-0002-0000-0100-000001000000}">
      <formula1>"A,B,C,D,E,F,Own (approved)"</formula1>
      <formula2>0</formula2>
    </dataValidation>
    <dataValidation type="list" allowBlank="1" showErrorMessage="1" error="Choose a value from the list." sqref="E18:E25" xr:uid="{00000000-0002-0000-0100-000002000000}">
      <formula1>"Idea,Approved,Designed,Built,Tested"</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5" x14ac:dyDescent="0.25"/>
  <cols>
    <col min="1" max="1" width="8" customWidth="1"/>
    <col min="2" max="2" width="14" customWidth="1"/>
    <col min="3" max="5" width="40" customWidth="1"/>
    <col min="6" max="6" width="12" customWidth="1"/>
    <col min="7" max="7" width="36" customWidth="1"/>
    <col min="8" max="8" width="14" customWidth="1"/>
    <col min="9" max="9" width="36" customWidth="1"/>
    <col min="10" max="10" width="18" customWidth="1"/>
  </cols>
  <sheetData>
    <row r="1" spans="1:10" ht="19.5" x14ac:dyDescent="0.3">
      <c r="A1" s="7" t="s">
        <v>114</v>
      </c>
    </row>
    <row r="2" spans="1:10" x14ac:dyDescent="0.25">
      <c r="A2" s="8" t="s">
        <v>115</v>
      </c>
    </row>
    <row r="4" spans="1:10" ht="48" customHeight="1" x14ac:dyDescent="0.25">
      <c r="A4" s="13" t="s">
        <v>116</v>
      </c>
      <c r="B4" s="18" t="s">
        <v>117</v>
      </c>
      <c r="C4" s="18" t="s">
        <v>118</v>
      </c>
      <c r="D4" s="18" t="s">
        <v>119</v>
      </c>
      <c r="E4" s="18" t="s">
        <v>120</v>
      </c>
      <c r="F4" s="18" t="s">
        <v>86</v>
      </c>
      <c r="G4" s="19" t="s">
        <v>121</v>
      </c>
      <c r="H4" s="19" t="s">
        <v>122</v>
      </c>
      <c r="I4" s="18" t="s">
        <v>123</v>
      </c>
      <c r="J4" s="18" t="s">
        <v>124</v>
      </c>
    </row>
    <row r="5" spans="1:10" ht="60" customHeight="1" x14ac:dyDescent="0.25">
      <c r="A5" s="20" t="s">
        <v>125</v>
      </c>
      <c r="B5" s="10"/>
      <c r="C5" s="10"/>
      <c r="D5" s="10"/>
      <c r="E5" s="10"/>
      <c r="F5" s="10"/>
      <c r="G5" s="12"/>
      <c r="H5" s="12"/>
      <c r="I5" s="10"/>
      <c r="J5" s="10"/>
    </row>
    <row r="6" spans="1:10" ht="60" customHeight="1" x14ac:dyDescent="0.25">
      <c r="A6" s="20" t="s">
        <v>126</v>
      </c>
      <c r="B6" s="10"/>
      <c r="C6" s="10"/>
      <c r="D6" s="10"/>
      <c r="E6" s="10"/>
      <c r="F6" s="10"/>
      <c r="G6" s="12"/>
      <c r="H6" s="12"/>
      <c r="I6" s="10"/>
      <c r="J6" s="10"/>
    </row>
    <row r="7" spans="1:10" ht="60" customHeight="1" x14ac:dyDescent="0.25">
      <c r="A7" s="20" t="s">
        <v>127</v>
      </c>
      <c r="B7" s="10"/>
      <c r="C7" s="10"/>
      <c r="D7" s="10"/>
      <c r="E7" s="10"/>
      <c r="F7" s="10"/>
      <c r="G7" s="12"/>
      <c r="H7" s="12"/>
      <c r="I7" s="10"/>
      <c r="J7" s="10"/>
    </row>
    <row r="8" spans="1:10" ht="60" customHeight="1" x14ac:dyDescent="0.25">
      <c r="A8" s="20" t="s">
        <v>128</v>
      </c>
      <c r="B8" s="10"/>
      <c r="C8" s="10"/>
      <c r="D8" s="10"/>
      <c r="E8" s="10"/>
      <c r="F8" s="10"/>
      <c r="G8" s="12"/>
      <c r="H8" s="12"/>
      <c r="I8" s="10"/>
      <c r="J8" s="10"/>
    </row>
    <row r="9" spans="1:10" ht="60" customHeight="1" x14ac:dyDescent="0.25">
      <c r="A9" s="20" t="s">
        <v>129</v>
      </c>
      <c r="B9" s="10"/>
      <c r="C9" s="10"/>
      <c r="D9" s="10"/>
      <c r="E9" s="10"/>
      <c r="F9" s="10"/>
      <c r="G9" s="12"/>
      <c r="H9" s="12"/>
      <c r="I9" s="10"/>
      <c r="J9" s="10"/>
    </row>
    <row r="10" spans="1:10" ht="60" customHeight="1" x14ac:dyDescent="0.25">
      <c r="A10" s="20" t="s">
        <v>130</v>
      </c>
      <c r="B10" s="10"/>
      <c r="C10" s="10"/>
      <c r="D10" s="10"/>
      <c r="E10" s="10"/>
      <c r="F10" s="10"/>
      <c r="G10" s="12"/>
      <c r="H10" s="12"/>
      <c r="I10" s="10"/>
      <c r="J10" s="10"/>
    </row>
    <row r="11" spans="1:10" ht="60" customHeight="1" x14ac:dyDescent="0.25">
      <c r="A11" s="20" t="s">
        <v>131</v>
      </c>
      <c r="B11" s="10"/>
      <c r="C11" s="10"/>
      <c r="D11" s="10"/>
      <c r="E11" s="10"/>
      <c r="F11" s="10"/>
      <c r="G11" s="12"/>
      <c r="H11" s="12"/>
      <c r="I11" s="10"/>
      <c r="J11" s="10"/>
    </row>
    <row r="12" spans="1:10" ht="60" customHeight="1" x14ac:dyDescent="0.25">
      <c r="A12" s="20" t="s">
        <v>132</v>
      </c>
      <c r="B12" s="10"/>
      <c r="C12" s="10"/>
      <c r="D12" s="10"/>
      <c r="E12" s="10"/>
      <c r="F12" s="10"/>
      <c r="G12" s="12"/>
      <c r="H12" s="12"/>
      <c r="I12" s="10"/>
      <c r="J12" s="10"/>
    </row>
    <row r="13" spans="1:10" ht="60" customHeight="1" x14ac:dyDescent="0.25">
      <c r="A13" s="20" t="s">
        <v>133</v>
      </c>
      <c r="B13" s="10"/>
      <c r="C13" s="10"/>
      <c r="D13" s="10"/>
      <c r="E13" s="10"/>
      <c r="F13" s="10"/>
      <c r="G13" s="12"/>
      <c r="H13" s="12"/>
      <c r="I13" s="10"/>
      <c r="J13" s="10"/>
    </row>
    <row r="14" spans="1:10" ht="60" customHeight="1" x14ac:dyDescent="0.25">
      <c r="A14" s="20" t="s">
        <v>134</v>
      </c>
      <c r="B14" s="10"/>
      <c r="C14" s="10"/>
      <c r="D14" s="10"/>
      <c r="E14" s="10"/>
      <c r="F14" s="10"/>
      <c r="G14" s="12"/>
      <c r="H14" s="12"/>
      <c r="I14" s="10"/>
      <c r="J14" s="10"/>
    </row>
    <row r="15" spans="1:10" ht="60" customHeight="1" x14ac:dyDescent="0.25">
      <c r="A15" s="20" t="s">
        <v>135</v>
      </c>
      <c r="B15" s="10"/>
      <c r="C15" s="10"/>
      <c r="D15" s="10"/>
      <c r="E15" s="10"/>
      <c r="F15" s="10"/>
      <c r="G15" s="12"/>
      <c r="H15" s="12"/>
      <c r="I15" s="10"/>
      <c r="J15" s="10"/>
    </row>
    <row r="16" spans="1:10" ht="60" customHeight="1" x14ac:dyDescent="0.25">
      <c r="A16" s="20" t="s">
        <v>136</v>
      </c>
      <c r="B16" s="10"/>
      <c r="C16" s="10"/>
      <c r="D16" s="10"/>
      <c r="E16" s="10"/>
      <c r="F16" s="10"/>
      <c r="G16" s="12"/>
      <c r="H16" s="12"/>
      <c r="I16" s="10"/>
      <c r="J16" s="10"/>
    </row>
    <row r="17" spans="1:10" ht="60" customHeight="1" x14ac:dyDescent="0.25">
      <c r="A17" s="20" t="s">
        <v>137</v>
      </c>
      <c r="B17" s="10"/>
      <c r="C17" s="10"/>
      <c r="D17" s="10"/>
      <c r="E17" s="10"/>
      <c r="F17" s="10"/>
      <c r="G17" s="12"/>
      <c r="H17" s="12"/>
      <c r="I17" s="10"/>
      <c r="J17" s="10"/>
    </row>
    <row r="18" spans="1:10" ht="60" customHeight="1" x14ac:dyDescent="0.25">
      <c r="A18" s="20" t="s">
        <v>138</v>
      </c>
      <c r="B18" s="10"/>
      <c r="C18" s="10"/>
      <c r="D18" s="10"/>
      <c r="E18" s="10"/>
      <c r="F18" s="10"/>
      <c r="G18" s="12"/>
      <c r="H18" s="12"/>
      <c r="I18" s="10"/>
      <c r="J18" s="10"/>
    </row>
    <row r="19" spans="1:10" ht="60" customHeight="1" x14ac:dyDescent="0.25">
      <c r="A19" s="20" t="s">
        <v>139</v>
      </c>
      <c r="B19" s="10"/>
      <c r="C19" s="10"/>
      <c r="D19" s="10"/>
      <c r="E19" s="10"/>
      <c r="F19" s="10"/>
      <c r="G19" s="12"/>
      <c r="H19" s="12"/>
      <c r="I19" s="10"/>
      <c r="J19" s="10"/>
    </row>
    <row r="21" spans="1:10" x14ac:dyDescent="0.25">
      <c r="C21" s="15" t="s">
        <v>140</v>
      </c>
      <c r="D21" s="17">
        <f>COUNTA(C5:C19)</f>
        <v>0</v>
      </c>
    </row>
    <row r="22" spans="1:10" x14ac:dyDescent="0.25">
      <c r="C22" s="15" t="s">
        <v>141</v>
      </c>
      <c r="D22" s="17" t="str">
        <f>IF(D21&gt;=3,"OK","Need at least 3")</f>
        <v>Need at least 3</v>
      </c>
    </row>
  </sheetData>
  <conditionalFormatting sqref="D22">
    <cfRule type="expression" dxfId="16" priority="2">
      <formula>D22&lt;&gt;"OK"</formula>
    </cfRule>
  </conditionalFormatting>
  <dataValidations count="2">
    <dataValidation type="list" allowBlank="1" showErrorMessage="1" error="Choose a value from the list." sqref="B5:B19" xr:uid="{00000000-0002-0000-0200-000000000000}">
      <formula1>"Ambiguity,Gap,Conflict,Other"</formula1>
      <formula2>0</formula2>
    </dataValidation>
    <dataValidation type="list" allowBlank="1" showErrorMessage="1" error="Choose a value from the list." sqref="F5:F19" xr:uid="{00000000-0002-0000-0200-000001000000}">
      <formula1>"Draft,Asked,Answered,Closed"</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2"/>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0" customWidth="1"/>
    <col min="2" max="2" width="52" customWidth="1"/>
    <col min="3" max="3" width="8" customWidth="1"/>
    <col min="4" max="4" width="12" customWidth="1"/>
    <col min="5" max="7" width="14" customWidth="1"/>
    <col min="8" max="8" width="12" customWidth="1"/>
    <col min="9" max="10" width="34" customWidth="1"/>
    <col min="11" max="11" width="12" customWidth="1"/>
  </cols>
  <sheetData>
    <row r="1" spans="1:11" ht="19.5" x14ac:dyDescent="0.3">
      <c r="A1" s="7" t="s">
        <v>28</v>
      </c>
    </row>
    <row r="2" spans="1:11" x14ac:dyDescent="0.25">
      <c r="A2" s="8" t="s">
        <v>142</v>
      </c>
    </row>
    <row r="4" spans="1:11" ht="33.75" customHeight="1" x14ac:dyDescent="0.25">
      <c r="A4" s="13" t="s">
        <v>116</v>
      </c>
      <c r="B4" s="18" t="s">
        <v>143</v>
      </c>
      <c r="C4" s="18" t="s">
        <v>117</v>
      </c>
      <c r="D4" s="18" t="s">
        <v>144</v>
      </c>
      <c r="E4" s="18" t="s">
        <v>83</v>
      </c>
      <c r="F4" s="18" t="s">
        <v>145</v>
      </c>
      <c r="G4" s="18" t="s">
        <v>146</v>
      </c>
      <c r="H4" s="18" t="s">
        <v>147</v>
      </c>
      <c r="I4" s="18" t="s">
        <v>148</v>
      </c>
      <c r="J4" s="19" t="s">
        <v>88</v>
      </c>
      <c r="K4" s="18" t="s">
        <v>86</v>
      </c>
    </row>
    <row r="5" spans="1:11" ht="30" customHeight="1" x14ac:dyDescent="0.25">
      <c r="A5" s="20" t="str">
        <f>IF(C5="","",C5&amp;COUNTIF($C$5:C5,C5))</f>
        <v/>
      </c>
      <c r="B5" s="10"/>
      <c r="C5" s="10"/>
      <c r="D5" s="10"/>
      <c r="E5" s="10"/>
      <c r="F5" s="10"/>
      <c r="G5" s="10"/>
      <c r="H5" s="10"/>
      <c r="I5" s="10"/>
      <c r="J5" s="12"/>
      <c r="K5" s="10"/>
    </row>
    <row r="6" spans="1:11" ht="30" customHeight="1" x14ac:dyDescent="0.25">
      <c r="A6" s="20" t="str">
        <f>IF(C6="","",C6&amp;COUNTIF($C$5:C6,C6))</f>
        <v/>
      </c>
      <c r="B6" s="10"/>
      <c r="C6" s="10"/>
      <c r="D6" s="10"/>
      <c r="E6" s="10"/>
      <c r="F6" s="10"/>
      <c r="G6" s="10"/>
      <c r="H6" s="10"/>
      <c r="I6" s="10"/>
      <c r="J6" s="12"/>
      <c r="K6" s="10"/>
    </row>
    <row r="7" spans="1:11" ht="30" customHeight="1" x14ac:dyDescent="0.25">
      <c r="A7" s="20" t="str">
        <f>IF(C7="","",C7&amp;COUNTIF($C$5:C7,C7))</f>
        <v/>
      </c>
      <c r="B7" s="10"/>
      <c r="C7" s="10"/>
      <c r="D7" s="10"/>
      <c r="E7" s="10"/>
      <c r="F7" s="10"/>
      <c r="G7" s="10"/>
      <c r="H7" s="10"/>
      <c r="I7" s="10"/>
      <c r="J7" s="12"/>
      <c r="K7" s="10"/>
    </row>
    <row r="8" spans="1:11" ht="30" customHeight="1" x14ac:dyDescent="0.25">
      <c r="A8" s="20" t="str">
        <f>IF(C8="","",C8&amp;COUNTIF($C$5:C8,C8))</f>
        <v/>
      </c>
      <c r="B8" s="10"/>
      <c r="C8" s="10"/>
      <c r="D8" s="10"/>
      <c r="E8" s="10"/>
      <c r="F8" s="10"/>
      <c r="G8" s="10"/>
      <c r="H8" s="10"/>
      <c r="I8" s="10"/>
      <c r="J8" s="12"/>
      <c r="K8" s="10"/>
    </row>
    <row r="9" spans="1:11" ht="30" customHeight="1" x14ac:dyDescent="0.25">
      <c r="A9" s="20" t="str">
        <f>IF(C9="","",C9&amp;COUNTIF($C$5:C9,C9))</f>
        <v/>
      </c>
      <c r="B9" s="10"/>
      <c r="C9" s="10"/>
      <c r="D9" s="10"/>
      <c r="E9" s="10"/>
      <c r="F9" s="10"/>
      <c r="G9" s="10"/>
      <c r="H9" s="10"/>
      <c r="I9" s="10"/>
      <c r="J9" s="12"/>
      <c r="K9" s="10"/>
    </row>
    <row r="10" spans="1:11" ht="30" customHeight="1" x14ac:dyDescent="0.25">
      <c r="A10" s="20" t="str">
        <f>IF(C10="","",C10&amp;COUNTIF($C$5:C10,C10))</f>
        <v/>
      </c>
      <c r="B10" s="10"/>
      <c r="C10" s="10"/>
      <c r="D10" s="10"/>
      <c r="E10" s="10"/>
      <c r="F10" s="10"/>
      <c r="G10" s="10"/>
      <c r="H10" s="10"/>
      <c r="I10" s="10"/>
      <c r="J10" s="12"/>
      <c r="K10" s="10"/>
    </row>
    <row r="11" spans="1:11" ht="30" customHeight="1" x14ac:dyDescent="0.25">
      <c r="A11" s="20" t="str">
        <f>IF(C11="","",C11&amp;COUNTIF($C$5:C11,C11))</f>
        <v/>
      </c>
      <c r="B11" s="10"/>
      <c r="C11" s="10"/>
      <c r="D11" s="10"/>
      <c r="E11" s="10"/>
      <c r="F11" s="10"/>
      <c r="G11" s="10"/>
      <c r="H11" s="10"/>
      <c r="I11" s="10"/>
      <c r="J11" s="12"/>
      <c r="K11" s="10"/>
    </row>
    <row r="12" spans="1:11" ht="30" customHeight="1" x14ac:dyDescent="0.25">
      <c r="A12" s="20" t="str">
        <f>IF(C12="","",C12&amp;COUNTIF($C$5:C12,C12))</f>
        <v/>
      </c>
      <c r="B12" s="10"/>
      <c r="C12" s="10"/>
      <c r="D12" s="10"/>
      <c r="E12" s="10"/>
      <c r="F12" s="10"/>
      <c r="G12" s="10"/>
      <c r="H12" s="10"/>
      <c r="I12" s="10"/>
      <c r="J12" s="12"/>
      <c r="K12" s="10"/>
    </row>
    <row r="13" spans="1:11" ht="30" customHeight="1" x14ac:dyDescent="0.25">
      <c r="A13" s="20" t="str">
        <f>IF(C13="","",C13&amp;COUNTIF($C$5:C13,C13))</f>
        <v/>
      </c>
      <c r="B13" s="10"/>
      <c r="C13" s="10"/>
      <c r="D13" s="10"/>
      <c r="E13" s="10"/>
      <c r="F13" s="10"/>
      <c r="G13" s="10"/>
      <c r="H13" s="10"/>
      <c r="I13" s="10"/>
      <c r="J13" s="12"/>
      <c r="K13" s="10"/>
    </row>
    <row r="14" spans="1:11" ht="30" customHeight="1" x14ac:dyDescent="0.25">
      <c r="A14" s="20" t="str">
        <f>IF(C14="","",C14&amp;COUNTIF($C$5:C14,C14))</f>
        <v/>
      </c>
      <c r="B14" s="10"/>
      <c r="C14" s="10"/>
      <c r="D14" s="10"/>
      <c r="E14" s="10"/>
      <c r="F14" s="10"/>
      <c r="G14" s="10"/>
      <c r="H14" s="10"/>
      <c r="I14" s="10"/>
      <c r="J14" s="12"/>
      <c r="K14" s="10"/>
    </row>
    <row r="15" spans="1:11" ht="30" customHeight="1" x14ac:dyDescent="0.25">
      <c r="A15" s="20" t="str">
        <f>IF(C15="","",C15&amp;COUNTIF($C$5:C15,C15))</f>
        <v/>
      </c>
      <c r="B15" s="10"/>
      <c r="C15" s="10"/>
      <c r="D15" s="10"/>
      <c r="E15" s="10"/>
      <c r="F15" s="10"/>
      <c r="G15" s="10"/>
      <c r="H15" s="10"/>
      <c r="I15" s="10"/>
      <c r="J15" s="12"/>
      <c r="K15" s="10"/>
    </row>
    <row r="16" spans="1:11" ht="30" customHeight="1" x14ac:dyDescent="0.25">
      <c r="A16" s="20" t="str">
        <f>IF(C16="","",C16&amp;COUNTIF($C$5:C16,C16))</f>
        <v/>
      </c>
      <c r="B16" s="10"/>
      <c r="C16" s="10"/>
      <c r="D16" s="10"/>
      <c r="E16" s="10"/>
      <c r="F16" s="10"/>
      <c r="G16" s="10"/>
      <c r="H16" s="10"/>
      <c r="I16" s="10"/>
      <c r="J16" s="12"/>
      <c r="K16" s="10"/>
    </row>
    <row r="17" spans="1:11" ht="30" customHeight="1" x14ac:dyDescent="0.25">
      <c r="A17" s="20" t="str">
        <f>IF(C17="","",C17&amp;COUNTIF($C$5:C17,C17))</f>
        <v/>
      </c>
      <c r="B17" s="10"/>
      <c r="C17" s="10"/>
      <c r="D17" s="10"/>
      <c r="E17" s="10"/>
      <c r="F17" s="10"/>
      <c r="G17" s="10"/>
      <c r="H17" s="10"/>
      <c r="I17" s="10"/>
      <c r="J17" s="12"/>
      <c r="K17" s="10"/>
    </row>
    <row r="18" spans="1:11" ht="30" customHeight="1" x14ac:dyDescent="0.25">
      <c r="A18" s="20" t="str">
        <f>IF(C18="","",C18&amp;COUNTIF($C$5:C18,C18))</f>
        <v/>
      </c>
      <c r="B18" s="10"/>
      <c r="C18" s="10"/>
      <c r="D18" s="10"/>
      <c r="E18" s="10"/>
      <c r="F18" s="10"/>
      <c r="G18" s="10"/>
      <c r="H18" s="10"/>
      <c r="I18" s="10"/>
      <c r="J18" s="12"/>
      <c r="K18" s="10"/>
    </row>
    <row r="19" spans="1:11" ht="30" customHeight="1" x14ac:dyDescent="0.25">
      <c r="A19" s="20" t="str">
        <f>IF(C19="","",C19&amp;COUNTIF($C$5:C19,C19))</f>
        <v/>
      </c>
      <c r="B19" s="10"/>
      <c r="C19" s="10"/>
      <c r="D19" s="10"/>
      <c r="E19" s="10"/>
      <c r="F19" s="10"/>
      <c r="G19" s="10"/>
      <c r="H19" s="10"/>
      <c r="I19" s="10"/>
      <c r="J19" s="12"/>
      <c r="K19" s="10"/>
    </row>
    <row r="20" spans="1:11" ht="30" customHeight="1" x14ac:dyDescent="0.25">
      <c r="A20" s="20" t="str">
        <f>IF(C20="","",C20&amp;COUNTIF($C$5:C20,C20))</f>
        <v/>
      </c>
      <c r="B20" s="10"/>
      <c r="C20" s="10"/>
      <c r="D20" s="10"/>
      <c r="E20" s="10"/>
      <c r="F20" s="10"/>
      <c r="G20" s="10"/>
      <c r="H20" s="10"/>
      <c r="I20" s="10"/>
      <c r="J20" s="12"/>
      <c r="K20" s="10"/>
    </row>
    <row r="21" spans="1:11" ht="30" customHeight="1" x14ac:dyDescent="0.25">
      <c r="A21" s="20" t="str">
        <f>IF(C21="","",C21&amp;COUNTIF($C$5:C21,C21))</f>
        <v/>
      </c>
      <c r="B21" s="10"/>
      <c r="C21" s="10"/>
      <c r="D21" s="10"/>
      <c r="E21" s="10"/>
      <c r="F21" s="10"/>
      <c r="G21" s="10"/>
      <c r="H21" s="10"/>
      <c r="I21" s="10"/>
      <c r="J21" s="12"/>
      <c r="K21" s="10"/>
    </row>
    <row r="22" spans="1:11" ht="30" customHeight="1" x14ac:dyDescent="0.25">
      <c r="A22" s="20" t="str">
        <f>IF(C22="","",C22&amp;COUNTIF($C$5:C22,C22))</f>
        <v/>
      </c>
      <c r="B22" s="10"/>
      <c r="C22" s="10"/>
      <c r="D22" s="10"/>
      <c r="E22" s="10"/>
      <c r="F22" s="10"/>
      <c r="G22" s="10"/>
      <c r="H22" s="10"/>
      <c r="I22" s="10"/>
      <c r="J22" s="12"/>
      <c r="K22" s="10"/>
    </row>
    <row r="23" spans="1:11" ht="30" customHeight="1" x14ac:dyDescent="0.25">
      <c r="A23" s="20" t="str">
        <f>IF(C23="","",C23&amp;COUNTIF($C$5:C23,C23))</f>
        <v/>
      </c>
      <c r="B23" s="10"/>
      <c r="C23" s="10"/>
      <c r="D23" s="10"/>
      <c r="E23" s="10"/>
      <c r="F23" s="10"/>
      <c r="G23" s="10"/>
      <c r="H23" s="10"/>
      <c r="I23" s="10"/>
      <c r="J23" s="12"/>
      <c r="K23" s="10"/>
    </row>
    <row r="24" spans="1:11" ht="30" customHeight="1" x14ac:dyDescent="0.25">
      <c r="A24" s="20" t="str">
        <f>IF(C24="","",C24&amp;COUNTIF($C$5:C24,C24))</f>
        <v/>
      </c>
      <c r="B24" s="10"/>
      <c r="C24" s="10"/>
      <c r="D24" s="10"/>
      <c r="E24" s="10"/>
      <c r="F24" s="10"/>
      <c r="G24" s="10"/>
      <c r="H24" s="10"/>
      <c r="I24" s="10"/>
      <c r="J24" s="12"/>
      <c r="K24" s="10"/>
    </row>
    <row r="25" spans="1:11" ht="30" customHeight="1" x14ac:dyDescent="0.25">
      <c r="A25" s="20" t="str">
        <f>IF(C25="","",C25&amp;COUNTIF($C$5:C25,C25))</f>
        <v/>
      </c>
      <c r="B25" s="10"/>
      <c r="C25" s="10"/>
      <c r="D25" s="10"/>
      <c r="E25" s="10"/>
      <c r="F25" s="10"/>
      <c r="G25" s="10"/>
      <c r="H25" s="10"/>
      <c r="I25" s="10"/>
      <c r="J25" s="12"/>
      <c r="K25" s="10"/>
    </row>
    <row r="26" spans="1:11" ht="30" customHeight="1" x14ac:dyDescent="0.25">
      <c r="A26" s="20" t="str">
        <f>IF(C26="","",C26&amp;COUNTIF($C$5:C26,C26))</f>
        <v/>
      </c>
      <c r="B26" s="10"/>
      <c r="C26" s="10"/>
      <c r="D26" s="10"/>
      <c r="E26" s="10"/>
      <c r="F26" s="10"/>
      <c r="G26" s="10"/>
      <c r="H26" s="10"/>
      <c r="I26" s="10"/>
      <c r="J26" s="12"/>
      <c r="K26" s="10"/>
    </row>
    <row r="27" spans="1:11" ht="30" customHeight="1" x14ac:dyDescent="0.25">
      <c r="A27" s="20" t="str">
        <f>IF(C27="","",C27&amp;COUNTIF($C$5:C27,C27))</f>
        <v/>
      </c>
      <c r="B27" s="10"/>
      <c r="C27" s="10"/>
      <c r="D27" s="10"/>
      <c r="E27" s="10"/>
      <c r="F27" s="10"/>
      <c r="G27" s="10"/>
      <c r="H27" s="10"/>
      <c r="I27" s="10"/>
      <c r="J27" s="12"/>
      <c r="K27" s="10"/>
    </row>
    <row r="28" spans="1:11" ht="30" customHeight="1" x14ac:dyDescent="0.25">
      <c r="A28" s="20" t="str">
        <f>IF(C28="","",C28&amp;COUNTIF($C$5:C28,C28))</f>
        <v/>
      </c>
      <c r="B28" s="10"/>
      <c r="C28" s="10"/>
      <c r="D28" s="10"/>
      <c r="E28" s="10"/>
      <c r="F28" s="10"/>
      <c r="G28" s="10"/>
      <c r="H28" s="10"/>
      <c r="I28" s="10"/>
      <c r="J28" s="12"/>
      <c r="K28" s="10"/>
    </row>
    <row r="29" spans="1:11" ht="30" customHeight="1" x14ac:dyDescent="0.25">
      <c r="A29" s="20" t="str">
        <f>IF(C29="","",C29&amp;COUNTIF($C$5:C29,C29))</f>
        <v/>
      </c>
      <c r="B29" s="10"/>
      <c r="C29" s="10"/>
      <c r="D29" s="10"/>
      <c r="E29" s="10"/>
      <c r="F29" s="10"/>
      <c r="G29" s="10"/>
      <c r="H29" s="10"/>
      <c r="I29" s="10"/>
      <c r="J29" s="12"/>
      <c r="K29" s="10"/>
    </row>
    <row r="30" spans="1:11" ht="30" customHeight="1" x14ac:dyDescent="0.25">
      <c r="A30" s="20" t="str">
        <f>IF(C30="","",C30&amp;COUNTIF($C$5:C30,C30))</f>
        <v/>
      </c>
      <c r="B30" s="10"/>
      <c r="C30" s="10"/>
      <c r="D30" s="10"/>
      <c r="E30" s="10"/>
      <c r="F30" s="10"/>
      <c r="G30" s="10"/>
      <c r="H30" s="10"/>
      <c r="I30" s="10"/>
      <c r="J30" s="12"/>
      <c r="K30" s="10"/>
    </row>
    <row r="31" spans="1:11" ht="30" customHeight="1" x14ac:dyDescent="0.25">
      <c r="A31" s="20" t="str">
        <f>IF(C31="","",C31&amp;COUNTIF($C$5:C31,C31))</f>
        <v/>
      </c>
      <c r="B31" s="10"/>
      <c r="C31" s="10"/>
      <c r="D31" s="10"/>
      <c r="E31" s="10"/>
      <c r="F31" s="10"/>
      <c r="G31" s="10"/>
      <c r="H31" s="10"/>
      <c r="I31" s="10"/>
      <c r="J31" s="12"/>
      <c r="K31" s="10"/>
    </row>
    <row r="32" spans="1:11" ht="30" customHeight="1" x14ac:dyDescent="0.25">
      <c r="A32" s="20" t="str">
        <f>IF(C32="","",C32&amp;COUNTIF($C$5:C32,C32))</f>
        <v/>
      </c>
      <c r="B32" s="10"/>
      <c r="C32" s="10"/>
      <c r="D32" s="10"/>
      <c r="E32" s="10"/>
      <c r="F32" s="10"/>
      <c r="G32" s="10"/>
      <c r="H32" s="10"/>
      <c r="I32" s="10"/>
      <c r="J32" s="12"/>
      <c r="K32" s="10"/>
    </row>
    <row r="33" spans="1:11" ht="30" customHeight="1" x14ac:dyDescent="0.25">
      <c r="A33" s="20" t="str">
        <f>IF(C33="","",C33&amp;COUNTIF($C$5:C33,C33))</f>
        <v/>
      </c>
      <c r="B33" s="10"/>
      <c r="C33" s="10"/>
      <c r="D33" s="10"/>
      <c r="E33" s="10"/>
      <c r="F33" s="10"/>
      <c r="G33" s="10"/>
      <c r="H33" s="10"/>
      <c r="I33" s="10"/>
      <c r="J33" s="12"/>
      <c r="K33" s="10"/>
    </row>
    <row r="34" spans="1:11" ht="30" customHeight="1" x14ac:dyDescent="0.25">
      <c r="A34" s="20" t="str">
        <f>IF(C34="","",C34&amp;COUNTIF($C$5:C34,C34))</f>
        <v/>
      </c>
      <c r="B34" s="10"/>
      <c r="C34" s="10"/>
      <c r="D34" s="10"/>
      <c r="E34" s="10"/>
      <c r="F34" s="10"/>
      <c r="G34" s="10"/>
      <c r="H34" s="10"/>
      <c r="I34" s="10"/>
      <c r="J34" s="12"/>
      <c r="K34" s="10"/>
    </row>
    <row r="35" spans="1:11" ht="30" customHeight="1" x14ac:dyDescent="0.25">
      <c r="A35" s="20" t="str">
        <f>IF(C35="","",C35&amp;COUNTIF($C$5:C35,C35))</f>
        <v/>
      </c>
      <c r="B35" s="10"/>
      <c r="C35" s="10"/>
      <c r="D35" s="10"/>
      <c r="E35" s="10"/>
      <c r="F35" s="10"/>
      <c r="G35" s="10"/>
      <c r="H35" s="10"/>
      <c r="I35" s="10"/>
      <c r="J35" s="12"/>
      <c r="K35" s="10"/>
    </row>
    <row r="36" spans="1:11" ht="30" customHeight="1" x14ac:dyDescent="0.25">
      <c r="A36" s="20" t="str">
        <f>IF(C36="","",C36&amp;COUNTIF($C$5:C36,C36))</f>
        <v/>
      </c>
      <c r="B36" s="10"/>
      <c r="C36" s="10"/>
      <c r="D36" s="10"/>
      <c r="E36" s="10"/>
      <c r="F36" s="10"/>
      <c r="G36" s="10"/>
      <c r="H36" s="10"/>
      <c r="I36" s="10"/>
      <c r="J36" s="12"/>
      <c r="K36" s="10"/>
    </row>
    <row r="37" spans="1:11" ht="30" customHeight="1" x14ac:dyDescent="0.25">
      <c r="A37" s="20" t="str">
        <f>IF(C37="","",C37&amp;COUNTIF($C$5:C37,C37))</f>
        <v/>
      </c>
      <c r="B37" s="10"/>
      <c r="C37" s="10"/>
      <c r="D37" s="10"/>
      <c r="E37" s="10"/>
      <c r="F37" s="10"/>
      <c r="G37" s="10"/>
      <c r="H37" s="10"/>
      <c r="I37" s="10"/>
      <c r="J37" s="12"/>
      <c r="K37" s="10"/>
    </row>
    <row r="38" spans="1:11" ht="30" customHeight="1" x14ac:dyDescent="0.25">
      <c r="A38" s="20" t="str">
        <f>IF(C38="","",C38&amp;COUNTIF($C$5:C38,C38))</f>
        <v/>
      </c>
      <c r="B38" s="10"/>
      <c r="C38" s="10"/>
      <c r="D38" s="10"/>
      <c r="E38" s="10"/>
      <c r="F38" s="10"/>
      <c r="G38" s="10"/>
      <c r="H38" s="10"/>
      <c r="I38" s="10"/>
      <c r="J38" s="12"/>
      <c r="K38" s="10"/>
    </row>
    <row r="39" spans="1:11" ht="30" customHeight="1" x14ac:dyDescent="0.25">
      <c r="A39" s="20" t="str">
        <f>IF(C39="","",C39&amp;COUNTIF($C$5:C39,C39))</f>
        <v/>
      </c>
      <c r="B39" s="10"/>
      <c r="C39" s="10"/>
      <c r="D39" s="10"/>
      <c r="E39" s="10"/>
      <c r="F39" s="10"/>
      <c r="G39" s="10"/>
      <c r="H39" s="10"/>
      <c r="I39" s="10"/>
      <c r="J39" s="12"/>
      <c r="K39" s="10"/>
    </row>
    <row r="40" spans="1:11" ht="30" customHeight="1" x14ac:dyDescent="0.25">
      <c r="A40" s="20" t="str">
        <f>IF(C40="","",C40&amp;COUNTIF($C$5:C40,C40))</f>
        <v/>
      </c>
      <c r="B40" s="10"/>
      <c r="C40" s="10"/>
      <c r="D40" s="10"/>
      <c r="E40" s="10"/>
      <c r="F40" s="10"/>
      <c r="G40" s="10"/>
      <c r="H40" s="10"/>
      <c r="I40" s="10"/>
      <c r="J40" s="12"/>
      <c r="K40" s="10"/>
    </row>
    <row r="41" spans="1:11" ht="30" customHeight="1" x14ac:dyDescent="0.25">
      <c r="A41" s="20" t="str">
        <f>IF(C41="","",C41&amp;COUNTIF($C$5:C41,C41))</f>
        <v/>
      </c>
      <c r="B41" s="10"/>
      <c r="C41" s="10"/>
      <c r="D41" s="10"/>
      <c r="E41" s="10"/>
      <c r="F41" s="10"/>
      <c r="G41" s="10"/>
      <c r="H41" s="10"/>
      <c r="I41" s="10"/>
      <c r="J41" s="12"/>
      <c r="K41" s="10"/>
    </row>
    <row r="42" spans="1:11" ht="30" customHeight="1" x14ac:dyDescent="0.25">
      <c r="A42" s="20" t="str">
        <f>IF(C42="","",C42&amp;COUNTIF($C$5:C42,C42))</f>
        <v/>
      </c>
      <c r="B42" s="10"/>
      <c r="C42" s="10"/>
      <c r="D42" s="10"/>
      <c r="E42" s="10"/>
      <c r="F42" s="10"/>
      <c r="G42" s="10"/>
      <c r="H42" s="10"/>
      <c r="I42" s="10"/>
      <c r="J42" s="12"/>
      <c r="K42" s="10"/>
    </row>
    <row r="43" spans="1:11" ht="30" customHeight="1" x14ac:dyDescent="0.25">
      <c r="A43" s="20" t="str">
        <f>IF(C43="","",C43&amp;COUNTIF($C$5:C43,C43))</f>
        <v/>
      </c>
      <c r="B43" s="10"/>
      <c r="C43" s="10"/>
      <c r="D43" s="10"/>
      <c r="E43" s="10"/>
      <c r="F43" s="10"/>
      <c r="G43" s="10"/>
      <c r="H43" s="10"/>
      <c r="I43" s="10"/>
      <c r="J43" s="12"/>
      <c r="K43" s="10"/>
    </row>
    <row r="44" spans="1:11" ht="30" customHeight="1" x14ac:dyDescent="0.25">
      <c r="A44" s="20" t="str">
        <f>IF(C44="","",C44&amp;COUNTIF($C$5:C44,C44))</f>
        <v/>
      </c>
      <c r="B44" s="10"/>
      <c r="C44" s="10"/>
      <c r="D44" s="10"/>
      <c r="E44" s="10"/>
      <c r="F44" s="10"/>
      <c r="G44" s="10"/>
      <c r="H44" s="10"/>
      <c r="I44" s="10"/>
      <c r="J44" s="12"/>
      <c r="K44" s="10"/>
    </row>
    <row r="45" spans="1:11" ht="30" customHeight="1" x14ac:dyDescent="0.25">
      <c r="A45" s="20" t="str">
        <f>IF(C45="","",C45&amp;COUNTIF($C$5:C45,C45))</f>
        <v/>
      </c>
      <c r="B45" s="10"/>
      <c r="C45" s="10"/>
      <c r="D45" s="10"/>
      <c r="E45" s="10"/>
      <c r="F45" s="10"/>
      <c r="G45" s="10"/>
      <c r="H45" s="10"/>
      <c r="I45" s="10"/>
      <c r="J45" s="12"/>
      <c r="K45" s="10"/>
    </row>
    <row r="46" spans="1:11" ht="30" customHeight="1" x14ac:dyDescent="0.25">
      <c r="A46" s="20" t="str">
        <f>IF(C46="","",C46&amp;COUNTIF($C$5:C46,C46))</f>
        <v/>
      </c>
      <c r="B46" s="10"/>
      <c r="C46" s="10"/>
      <c r="D46" s="10"/>
      <c r="E46" s="10"/>
      <c r="F46" s="10"/>
      <c r="G46" s="10"/>
      <c r="H46" s="10"/>
      <c r="I46" s="10"/>
      <c r="J46" s="12"/>
      <c r="K46" s="10"/>
    </row>
    <row r="47" spans="1:11" ht="30" customHeight="1" x14ac:dyDescent="0.25">
      <c r="A47" s="20" t="str">
        <f>IF(C47="","",C47&amp;COUNTIF($C$5:C47,C47))</f>
        <v/>
      </c>
      <c r="B47" s="10"/>
      <c r="C47" s="10"/>
      <c r="D47" s="10"/>
      <c r="E47" s="10"/>
      <c r="F47" s="10"/>
      <c r="G47" s="10"/>
      <c r="H47" s="10"/>
      <c r="I47" s="10"/>
      <c r="J47" s="12"/>
      <c r="K47" s="10"/>
    </row>
    <row r="48" spans="1:11" ht="30" customHeight="1" x14ac:dyDescent="0.25">
      <c r="A48" s="20" t="str">
        <f>IF(C48="","",C48&amp;COUNTIF($C$5:C48,C48))</f>
        <v/>
      </c>
      <c r="B48" s="10"/>
      <c r="C48" s="10"/>
      <c r="D48" s="10"/>
      <c r="E48" s="10"/>
      <c r="F48" s="10"/>
      <c r="G48" s="10"/>
      <c r="H48" s="10"/>
      <c r="I48" s="10"/>
      <c r="J48" s="12"/>
      <c r="K48" s="10"/>
    </row>
    <row r="49" spans="1:11" ht="30" customHeight="1" x14ac:dyDescent="0.25">
      <c r="A49" s="20" t="str">
        <f>IF(C49="","",C49&amp;COUNTIF($C$5:C49,C49))</f>
        <v/>
      </c>
      <c r="B49" s="10"/>
      <c r="C49" s="10"/>
      <c r="D49" s="10"/>
      <c r="E49" s="10"/>
      <c r="F49" s="10"/>
      <c r="G49" s="10"/>
      <c r="H49" s="10"/>
      <c r="I49" s="10"/>
      <c r="J49" s="12"/>
      <c r="K49" s="10"/>
    </row>
    <row r="51" spans="1:11" x14ac:dyDescent="0.25">
      <c r="B51" s="15" t="s">
        <v>149</v>
      </c>
      <c r="C51" s="17">
        <f>COUNTIF(C5:C49,"FR")</f>
        <v>0</v>
      </c>
      <c r="D51" s="17">
        <f>COUNTIF(C5:C49,"NFR")</f>
        <v>0</v>
      </c>
    </row>
    <row r="52" spans="1:11" x14ac:dyDescent="0.25">
      <c r="B52" s="15" t="s">
        <v>150</v>
      </c>
      <c r="D52" s="17" t="str">
        <f>IF(D51&gt;=6,"OK","Need 6")</f>
        <v>Need 6</v>
      </c>
    </row>
  </sheetData>
  <conditionalFormatting sqref="D52">
    <cfRule type="expression" dxfId="15" priority="2">
      <formula>D52&lt;&gt;"OK"</formula>
    </cfRule>
  </conditionalFormatting>
  <dataValidations count="3">
    <dataValidation type="list" allowBlank="1" showErrorMessage="1" error="Choose a value from the list." sqref="C5:C49" xr:uid="{00000000-0002-0000-0300-000000000000}">
      <formula1>"FR,NFR"</formula1>
      <formula2>0</formula2>
    </dataValidation>
    <dataValidation type="list" allowBlank="1" showErrorMessage="1" error="Choose a value from the list." sqref="D5:D49" xr:uid="{00000000-0002-0000-0300-000001000000}">
      <formula1>"High,Medium,Low"</formula1>
      <formula2>0</formula2>
    </dataValidation>
    <dataValidation type="list" allowBlank="1" showErrorMessage="1" error="Choose a value from the list." sqref="K5:K49" xr:uid="{00000000-0002-0000-0300-000002000000}">
      <formula1>"Draft,Agreed,Built,Tested"</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0"/>
  <sheetViews>
    <sheetView showGridLines="0" zoomScaleNormal="100" workbookViewId="0"/>
  </sheetViews>
  <sheetFormatPr defaultColWidth="8.7109375" defaultRowHeight="15" x14ac:dyDescent="0.25"/>
  <cols>
    <col min="1" max="1" width="12" customWidth="1"/>
    <col min="2" max="3" width="36" customWidth="1"/>
    <col min="4" max="4" width="18" customWidth="1"/>
    <col min="5" max="5" width="34" customWidth="1"/>
    <col min="6" max="6" width="14" customWidth="1"/>
    <col min="7" max="8" width="26" customWidth="1"/>
  </cols>
  <sheetData>
    <row r="1" spans="1:8" ht="19.5" x14ac:dyDescent="0.3">
      <c r="A1" s="7" t="s">
        <v>151</v>
      </c>
    </row>
    <row r="2" spans="1:8" x14ac:dyDescent="0.25">
      <c r="A2" s="8" t="s">
        <v>152</v>
      </c>
    </row>
    <row r="4" spans="1:8" ht="33.75" customHeight="1" x14ac:dyDescent="0.25">
      <c r="A4" s="13" t="s">
        <v>153</v>
      </c>
      <c r="B4" s="13" t="s">
        <v>154</v>
      </c>
      <c r="C4" s="18" t="s">
        <v>155</v>
      </c>
      <c r="D4" s="18" t="s">
        <v>156</v>
      </c>
      <c r="E4" s="18" t="s">
        <v>157</v>
      </c>
      <c r="F4" s="18" t="s">
        <v>86</v>
      </c>
      <c r="G4" s="18" t="s">
        <v>158</v>
      </c>
      <c r="H4" s="19" t="s">
        <v>88</v>
      </c>
    </row>
    <row r="5" spans="1:8" ht="39.75" customHeight="1" x14ac:dyDescent="0.25">
      <c r="A5" s="20" t="s">
        <v>24</v>
      </c>
      <c r="B5" s="11" t="s">
        <v>159</v>
      </c>
      <c r="C5" s="10"/>
      <c r="D5" s="10"/>
      <c r="E5" s="10"/>
      <c r="F5" s="10"/>
      <c r="G5" s="10"/>
      <c r="H5" s="12"/>
    </row>
    <row r="6" spans="1:8" ht="39.75" customHeight="1" x14ac:dyDescent="0.25">
      <c r="A6" s="20" t="s">
        <v>160</v>
      </c>
      <c r="B6" s="11" t="s">
        <v>161</v>
      </c>
      <c r="C6" s="10"/>
      <c r="D6" s="10"/>
      <c r="E6" s="10"/>
      <c r="F6" s="10"/>
      <c r="G6" s="10"/>
      <c r="H6" s="12"/>
    </row>
    <row r="7" spans="1:8" ht="39.75" customHeight="1" x14ac:dyDescent="0.25">
      <c r="A7" s="20" t="s">
        <v>162</v>
      </c>
      <c r="B7" s="11" t="s">
        <v>163</v>
      </c>
      <c r="C7" s="10"/>
      <c r="D7" s="10"/>
      <c r="E7" s="10"/>
      <c r="F7" s="10"/>
      <c r="G7" s="10"/>
      <c r="H7" s="12"/>
    </row>
    <row r="8" spans="1:8" ht="39.75" customHeight="1" x14ac:dyDescent="0.25">
      <c r="A8" s="20" t="s">
        <v>164</v>
      </c>
      <c r="B8" s="11" t="s">
        <v>165</v>
      </c>
      <c r="C8" s="10"/>
      <c r="D8" s="10"/>
      <c r="E8" s="10"/>
      <c r="F8" s="10"/>
      <c r="G8" s="10"/>
      <c r="H8" s="12"/>
    </row>
    <row r="9" spans="1:8" ht="39.75" customHeight="1" x14ac:dyDescent="0.25">
      <c r="A9" s="20" t="s">
        <v>50</v>
      </c>
      <c r="B9" s="11" t="s">
        <v>166</v>
      </c>
      <c r="C9" s="10"/>
      <c r="D9" s="10"/>
      <c r="E9" s="10"/>
      <c r="F9" s="10"/>
      <c r="G9" s="10"/>
      <c r="H9" s="12"/>
    </row>
    <row r="10" spans="1:8" ht="39.75" customHeight="1" x14ac:dyDescent="0.25">
      <c r="A10" s="20" t="s">
        <v>167</v>
      </c>
      <c r="B10" s="11" t="s">
        <v>168</v>
      </c>
      <c r="C10" s="10"/>
      <c r="D10" s="10"/>
      <c r="E10" s="10"/>
      <c r="F10" s="10"/>
      <c r="G10" s="10"/>
      <c r="H10" s="12"/>
    </row>
    <row r="11" spans="1:8" ht="39.75" customHeight="1" x14ac:dyDescent="0.25">
      <c r="A11" s="20" t="s">
        <v>169</v>
      </c>
      <c r="B11" s="11" t="s">
        <v>170</v>
      </c>
      <c r="C11" s="10"/>
      <c r="D11" s="10"/>
      <c r="E11" s="10"/>
      <c r="F11" s="10"/>
      <c r="G11" s="10"/>
      <c r="H11" s="12"/>
    </row>
    <row r="13" spans="1:8" ht="15.75" x14ac:dyDescent="0.25">
      <c r="A13" s="9" t="s">
        <v>171</v>
      </c>
    </row>
    <row r="14" spans="1:8" ht="33.75" customHeight="1" x14ac:dyDescent="0.25">
      <c r="A14" s="13" t="s">
        <v>116</v>
      </c>
      <c r="B14" s="18" t="s">
        <v>172</v>
      </c>
      <c r="C14" s="18" t="s">
        <v>173</v>
      </c>
      <c r="D14" s="18" t="s">
        <v>147</v>
      </c>
      <c r="E14" s="18" t="s">
        <v>153</v>
      </c>
      <c r="F14" s="18" t="s">
        <v>86</v>
      </c>
      <c r="G14" s="18" t="s">
        <v>174</v>
      </c>
      <c r="H14" s="19" t="s">
        <v>88</v>
      </c>
    </row>
    <row r="15" spans="1:8" ht="25.5" customHeight="1" x14ac:dyDescent="0.25">
      <c r="A15" s="20" t="s">
        <v>175</v>
      </c>
      <c r="B15" s="10"/>
      <c r="C15" s="10"/>
      <c r="D15" s="10"/>
      <c r="E15" s="10"/>
      <c r="F15" s="10"/>
      <c r="G15" s="10"/>
      <c r="H15" s="12"/>
    </row>
    <row r="16" spans="1:8" ht="25.5" customHeight="1" x14ac:dyDescent="0.25">
      <c r="A16" s="20" t="s">
        <v>176</v>
      </c>
      <c r="B16" s="10"/>
      <c r="C16" s="10"/>
      <c r="D16" s="10"/>
      <c r="E16" s="10"/>
      <c r="F16" s="10"/>
      <c r="G16" s="10"/>
      <c r="H16" s="12"/>
    </row>
    <row r="17" spans="1:8" ht="25.5" customHeight="1" x14ac:dyDescent="0.25">
      <c r="A17" s="20" t="s">
        <v>177</v>
      </c>
      <c r="B17" s="10"/>
      <c r="C17" s="10"/>
      <c r="D17" s="10"/>
      <c r="E17" s="10"/>
      <c r="F17" s="10"/>
      <c r="G17" s="10"/>
      <c r="H17" s="12"/>
    </row>
    <row r="18" spans="1:8" ht="25.5" customHeight="1" x14ac:dyDescent="0.25">
      <c r="A18" s="20" t="s">
        <v>178</v>
      </c>
      <c r="B18" s="10"/>
      <c r="C18" s="10"/>
      <c r="D18" s="10"/>
      <c r="E18" s="10"/>
      <c r="F18" s="10"/>
      <c r="G18" s="10"/>
      <c r="H18" s="12"/>
    </row>
    <row r="19" spans="1:8" ht="25.5" customHeight="1" x14ac:dyDescent="0.25">
      <c r="A19" s="20" t="s">
        <v>179</v>
      </c>
      <c r="B19" s="10"/>
      <c r="C19" s="10"/>
      <c r="D19" s="10"/>
      <c r="E19" s="10"/>
      <c r="F19" s="10"/>
      <c r="G19" s="10"/>
      <c r="H19" s="12"/>
    </row>
    <row r="20" spans="1:8" ht="25.5" customHeight="1" x14ac:dyDescent="0.25">
      <c r="A20" s="20" t="s">
        <v>180</v>
      </c>
      <c r="B20" s="10"/>
      <c r="C20" s="10"/>
      <c r="D20" s="10"/>
      <c r="E20" s="10"/>
      <c r="F20" s="10"/>
      <c r="G20" s="10"/>
      <c r="H20" s="12"/>
    </row>
    <row r="21" spans="1:8" ht="25.5" customHeight="1" x14ac:dyDescent="0.25">
      <c r="A21" s="20" t="s">
        <v>181</v>
      </c>
      <c r="B21" s="10"/>
      <c r="C21" s="10"/>
      <c r="D21" s="10"/>
      <c r="E21" s="10"/>
      <c r="F21" s="10"/>
      <c r="G21" s="10"/>
      <c r="H21" s="12"/>
    </row>
    <row r="22" spans="1:8" ht="25.5" customHeight="1" x14ac:dyDescent="0.25">
      <c r="A22" s="20" t="s">
        <v>182</v>
      </c>
      <c r="B22" s="10"/>
      <c r="C22" s="10"/>
      <c r="D22" s="10"/>
      <c r="E22" s="10"/>
      <c r="F22" s="10"/>
      <c r="G22" s="10"/>
      <c r="H22" s="12"/>
    </row>
    <row r="23" spans="1:8" ht="25.5" customHeight="1" x14ac:dyDescent="0.25">
      <c r="A23" s="20" t="s">
        <v>183</v>
      </c>
      <c r="B23" s="10"/>
      <c r="C23" s="10"/>
      <c r="D23" s="10"/>
      <c r="E23" s="10"/>
      <c r="F23" s="10"/>
      <c r="G23" s="10"/>
      <c r="H23" s="12"/>
    </row>
    <row r="24" spans="1:8" ht="25.5" customHeight="1" x14ac:dyDescent="0.25">
      <c r="A24" s="20" t="s">
        <v>184</v>
      </c>
      <c r="B24" s="10"/>
      <c r="C24" s="10"/>
      <c r="D24" s="10"/>
      <c r="E24" s="10"/>
      <c r="F24" s="10"/>
      <c r="G24" s="10"/>
      <c r="H24" s="12"/>
    </row>
    <row r="25" spans="1:8" ht="25.5" customHeight="1" x14ac:dyDescent="0.25">
      <c r="A25" s="20" t="s">
        <v>185</v>
      </c>
      <c r="B25" s="10"/>
      <c r="C25" s="10"/>
      <c r="D25" s="10"/>
      <c r="E25" s="10"/>
      <c r="F25" s="10"/>
      <c r="G25" s="10"/>
      <c r="H25" s="12"/>
    </row>
    <row r="26" spans="1:8" ht="25.5" customHeight="1" x14ac:dyDescent="0.25">
      <c r="A26" s="20" t="s">
        <v>186</v>
      </c>
      <c r="B26" s="10"/>
      <c r="C26" s="10"/>
      <c r="D26" s="10"/>
      <c r="E26" s="10"/>
      <c r="F26" s="10"/>
      <c r="G26" s="10"/>
      <c r="H26" s="12"/>
    </row>
    <row r="27" spans="1:8" ht="25.5" customHeight="1" x14ac:dyDescent="0.25">
      <c r="A27" s="20" t="s">
        <v>187</v>
      </c>
      <c r="B27" s="10"/>
      <c r="C27" s="10"/>
      <c r="D27" s="10"/>
      <c r="E27" s="10"/>
      <c r="F27" s="10"/>
      <c r="G27" s="10"/>
      <c r="H27" s="12"/>
    </row>
    <row r="28" spans="1:8" ht="25.5" customHeight="1" x14ac:dyDescent="0.25">
      <c r="A28" s="20" t="s">
        <v>188</v>
      </c>
      <c r="B28" s="10"/>
      <c r="C28" s="10"/>
      <c r="D28" s="10"/>
      <c r="E28" s="10"/>
      <c r="F28" s="10"/>
      <c r="G28" s="10"/>
      <c r="H28" s="12"/>
    </row>
    <row r="29" spans="1:8" ht="25.5" customHeight="1" x14ac:dyDescent="0.25">
      <c r="A29" s="20" t="s">
        <v>189</v>
      </c>
      <c r="B29" s="10"/>
      <c r="C29" s="10"/>
      <c r="D29" s="10"/>
      <c r="E29" s="10"/>
      <c r="F29" s="10"/>
      <c r="G29" s="10"/>
      <c r="H29" s="12"/>
    </row>
    <row r="30" spans="1:8" ht="25.5" customHeight="1" x14ac:dyDescent="0.25">
      <c r="A30" s="20" t="s">
        <v>190</v>
      </c>
      <c r="B30" s="10"/>
      <c r="C30" s="10"/>
      <c r="D30" s="10"/>
      <c r="E30" s="10"/>
      <c r="F30" s="10"/>
      <c r="G30" s="10"/>
      <c r="H30" s="12"/>
    </row>
    <row r="31" spans="1:8" ht="25.5" customHeight="1" x14ac:dyDescent="0.25">
      <c r="A31" s="20" t="s">
        <v>191</v>
      </c>
      <c r="B31" s="10"/>
      <c r="C31" s="10"/>
      <c r="D31" s="10"/>
      <c r="E31" s="10"/>
      <c r="F31" s="10"/>
      <c r="G31" s="10"/>
      <c r="H31" s="12"/>
    </row>
    <row r="32" spans="1:8" ht="25.5" customHeight="1" x14ac:dyDescent="0.25">
      <c r="A32" s="20" t="s">
        <v>192</v>
      </c>
      <c r="B32" s="10"/>
      <c r="C32" s="10"/>
      <c r="D32" s="10"/>
      <c r="E32" s="10"/>
      <c r="F32" s="10"/>
      <c r="G32" s="10"/>
      <c r="H32" s="12"/>
    </row>
    <row r="33" spans="1:8" ht="25.5" customHeight="1" x14ac:dyDescent="0.25">
      <c r="A33" s="20" t="s">
        <v>193</v>
      </c>
      <c r="B33" s="10"/>
      <c r="C33" s="10"/>
      <c r="D33" s="10"/>
      <c r="E33" s="10"/>
      <c r="F33" s="10"/>
      <c r="G33" s="10"/>
      <c r="H33" s="12"/>
    </row>
    <row r="34" spans="1:8" ht="25.5" customHeight="1" x14ac:dyDescent="0.25">
      <c r="A34" s="20" t="s">
        <v>194</v>
      </c>
      <c r="B34" s="10"/>
      <c r="C34" s="10"/>
      <c r="D34" s="10"/>
      <c r="E34" s="10"/>
      <c r="F34" s="10"/>
      <c r="G34" s="10"/>
      <c r="H34" s="12"/>
    </row>
    <row r="35" spans="1:8" ht="25.5" customHeight="1" x14ac:dyDescent="0.25">
      <c r="A35" s="20" t="s">
        <v>195</v>
      </c>
      <c r="B35" s="10"/>
      <c r="C35" s="10"/>
      <c r="D35" s="10"/>
      <c r="E35" s="10"/>
      <c r="F35" s="10"/>
      <c r="G35" s="10"/>
      <c r="H35" s="12"/>
    </row>
    <row r="36" spans="1:8" ht="25.5" customHeight="1" x14ac:dyDescent="0.25">
      <c r="A36" s="20" t="s">
        <v>196</v>
      </c>
      <c r="B36" s="10"/>
      <c r="C36" s="10"/>
      <c r="D36" s="10"/>
      <c r="E36" s="10"/>
      <c r="F36" s="10"/>
      <c r="G36" s="10"/>
      <c r="H36" s="12"/>
    </row>
    <row r="37" spans="1:8" ht="25.5" customHeight="1" x14ac:dyDescent="0.25">
      <c r="A37" s="20" t="s">
        <v>197</v>
      </c>
      <c r="B37" s="10"/>
      <c r="C37" s="10"/>
      <c r="D37" s="10"/>
      <c r="E37" s="10"/>
      <c r="F37" s="10"/>
      <c r="G37" s="10"/>
      <c r="H37" s="12"/>
    </row>
    <row r="38" spans="1:8" ht="25.5" customHeight="1" x14ac:dyDescent="0.25">
      <c r="A38" s="20" t="s">
        <v>198</v>
      </c>
      <c r="B38" s="10"/>
      <c r="C38" s="10"/>
      <c r="D38" s="10"/>
      <c r="E38" s="10"/>
      <c r="F38" s="10"/>
      <c r="G38" s="10"/>
      <c r="H38" s="12"/>
    </row>
    <row r="39" spans="1:8" ht="25.5" customHeight="1" x14ac:dyDescent="0.25">
      <c r="A39" s="20" t="s">
        <v>199</v>
      </c>
      <c r="B39" s="10"/>
      <c r="C39" s="10"/>
      <c r="D39" s="10"/>
      <c r="E39" s="10"/>
      <c r="F39" s="10"/>
      <c r="G39" s="10"/>
      <c r="H39" s="12"/>
    </row>
    <row r="41" spans="1:8" ht="15.75" x14ac:dyDescent="0.25">
      <c r="A41" s="9" t="s">
        <v>200</v>
      </c>
    </row>
    <row r="42" spans="1:8" ht="33.75" customHeight="1" x14ac:dyDescent="0.25">
      <c r="A42" s="13" t="s">
        <v>116</v>
      </c>
      <c r="B42" s="18" t="s">
        <v>201</v>
      </c>
      <c r="C42" s="18" t="s">
        <v>202</v>
      </c>
      <c r="D42" s="18" t="s">
        <v>203</v>
      </c>
      <c r="E42" s="13" t="s">
        <v>204</v>
      </c>
      <c r="F42" s="18" t="s">
        <v>147</v>
      </c>
      <c r="G42" s="18" t="s">
        <v>86</v>
      </c>
      <c r="H42" s="18" t="s">
        <v>205</v>
      </c>
    </row>
    <row r="43" spans="1:8" ht="30" customHeight="1" x14ac:dyDescent="0.25">
      <c r="A43" s="20" t="s">
        <v>206</v>
      </c>
      <c r="B43" s="10"/>
      <c r="C43" s="10"/>
      <c r="D43" s="10"/>
      <c r="E43" s="17" t="str">
        <f>IF(OR(C43="",D43=""),"",(MATCH(C43,{"Low","Medium","High"},0))*(MATCH(D43,{"Low","Medium","High"},0)))</f>
        <v/>
      </c>
      <c r="F43" s="10"/>
      <c r="G43" s="10"/>
      <c r="H43" s="10"/>
    </row>
    <row r="44" spans="1:8" ht="30" customHeight="1" x14ac:dyDescent="0.25">
      <c r="A44" s="20" t="s">
        <v>207</v>
      </c>
      <c r="B44" s="10"/>
      <c r="C44" s="10"/>
      <c r="D44" s="10"/>
      <c r="E44" s="17" t="str">
        <f>IF(OR(C44="",D44=""),"",(MATCH(C44,{"Low","Medium","High"},0))*(MATCH(D44,{"Low","Medium","High"},0)))</f>
        <v/>
      </c>
      <c r="F44" s="10"/>
      <c r="G44" s="10"/>
      <c r="H44" s="10"/>
    </row>
    <row r="45" spans="1:8" ht="30" customHeight="1" x14ac:dyDescent="0.25">
      <c r="A45" s="20" t="s">
        <v>208</v>
      </c>
      <c r="B45" s="10"/>
      <c r="C45" s="10"/>
      <c r="D45" s="10"/>
      <c r="E45" s="17" t="str">
        <f>IF(OR(C45="",D45=""),"",(MATCH(C45,{"Low","Medium","High"},0))*(MATCH(D45,{"Low","Medium","High"},0)))</f>
        <v/>
      </c>
      <c r="F45" s="10"/>
      <c r="G45" s="10"/>
      <c r="H45" s="10"/>
    </row>
    <row r="46" spans="1:8" ht="30" customHeight="1" x14ac:dyDescent="0.25">
      <c r="A46" s="20" t="s">
        <v>209</v>
      </c>
      <c r="B46" s="10"/>
      <c r="C46" s="10"/>
      <c r="D46" s="10"/>
      <c r="E46" s="17" t="str">
        <f>IF(OR(C46="",D46=""),"",(MATCH(C46,{"Low","Medium","High"},0))*(MATCH(D46,{"Low","Medium","High"},0)))</f>
        <v/>
      </c>
      <c r="F46" s="10"/>
      <c r="G46" s="10"/>
      <c r="H46" s="10"/>
    </row>
    <row r="47" spans="1:8" ht="30" customHeight="1" x14ac:dyDescent="0.25">
      <c r="A47" s="20" t="s">
        <v>210</v>
      </c>
      <c r="B47" s="10"/>
      <c r="C47" s="10"/>
      <c r="D47" s="10"/>
      <c r="E47" s="17" t="str">
        <f>IF(OR(C47="",D47=""),"",(MATCH(C47,{"Low","Medium","High"},0))*(MATCH(D47,{"Low","Medium","High"},0)))</f>
        <v/>
      </c>
      <c r="F47" s="10"/>
      <c r="G47" s="10"/>
      <c r="H47" s="10"/>
    </row>
    <row r="48" spans="1:8" ht="30" customHeight="1" x14ac:dyDescent="0.25">
      <c r="A48" s="20" t="s">
        <v>211</v>
      </c>
      <c r="B48" s="10"/>
      <c r="C48" s="10"/>
      <c r="D48" s="10"/>
      <c r="E48" s="17" t="str">
        <f>IF(OR(C48="",D48=""),"",(MATCH(C48,{"Low","Medium","High"},0))*(MATCH(D48,{"Low","Medium","High"},0)))</f>
        <v/>
      </c>
      <c r="F48" s="10"/>
      <c r="G48" s="10"/>
      <c r="H48" s="10"/>
    </row>
    <row r="49" spans="1:8" ht="30" customHeight="1" x14ac:dyDescent="0.25">
      <c r="A49" s="20" t="s">
        <v>212</v>
      </c>
      <c r="B49" s="10"/>
      <c r="C49" s="10"/>
      <c r="D49" s="10"/>
      <c r="E49" s="17" t="str">
        <f>IF(OR(C49="",D49=""),"",(MATCH(C49,{"Low","Medium","High"},0))*(MATCH(D49,{"Low","Medium","High"},0)))</f>
        <v/>
      </c>
      <c r="F49" s="10"/>
      <c r="G49" s="10"/>
      <c r="H49" s="10"/>
    </row>
    <row r="50" spans="1:8" ht="30" customHeight="1" x14ac:dyDescent="0.25">
      <c r="A50" s="20" t="s">
        <v>213</v>
      </c>
      <c r="B50" s="10"/>
      <c r="C50" s="10"/>
      <c r="D50" s="10"/>
      <c r="E50" s="17" t="str">
        <f>IF(OR(C50="",D50=""),"",(MATCH(C50,{"Low","Medium","High"},0))*(MATCH(D50,{"Low","Medium","High"},0)))</f>
        <v/>
      </c>
      <c r="F50" s="10"/>
      <c r="G50" s="10"/>
      <c r="H50" s="10"/>
    </row>
  </sheetData>
  <dataValidations count="5">
    <dataValidation type="list" allowBlank="1" showErrorMessage="1" error="Choose a value from the list." sqref="F5:F11" xr:uid="{00000000-0002-0000-0400-000000000000}">
      <formula1>"Planned,In progress,Done,Late"</formula1>
      <formula2>0</formula2>
    </dataValidation>
    <dataValidation type="list" allowBlank="1" showErrorMessage="1" error="Choose a value from the list." sqref="E15:E39" xr:uid="{00000000-0002-0000-0400-000001000000}">
      <formula1>"1,2,3,4,5,6,7"</formula1>
      <formula2>0</formula2>
    </dataValidation>
    <dataValidation type="list" allowBlank="1" showErrorMessage="1" error="Choose a value from the list." sqref="F15:F39" xr:uid="{00000000-0002-0000-0400-000002000000}">
      <formula1>"To do,In progress,Done"</formula1>
      <formula2>0</formula2>
    </dataValidation>
    <dataValidation type="list" allowBlank="1" showErrorMessage="1" error="Choose a value from the list." sqref="C43:D50" xr:uid="{00000000-0002-0000-0400-000003000000}">
      <formula1>"High,Medium,Low"</formula1>
      <formula2>0</formula2>
    </dataValidation>
    <dataValidation type="list" allowBlank="1" showErrorMessage="1" error="Choose a value from the list." sqref="G43:G50" xr:uid="{00000000-0002-0000-0400-000005000000}">
      <formula1>"Open,Mitigated,Occurred,Closed"</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2"/>
  <sheetViews>
    <sheetView showGridLines="0" zoomScaleNormal="100" workbookViewId="0"/>
  </sheetViews>
  <sheetFormatPr defaultColWidth="8.7109375" defaultRowHeight="15" x14ac:dyDescent="0.25"/>
  <cols>
    <col min="1" max="1" width="9" customWidth="1"/>
    <col min="2" max="4" width="40" customWidth="1"/>
    <col min="5" max="5" width="28" customWidth="1"/>
    <col min="6" max="6" width="10" customWidth="1"/>
    <col min="7" max="7" width="30" customWidth="1"/>
  </cols>
  <sheetData>
    <row r="1" spans="1:7" ht="19.5" x14ac:dyDescent="0.3">
      <c r="A1" s="7" t="s">
        <v>214</v>
      </c>
    </row>
    <row r="2" spans="1:7" x14ac:dyDescent="0.25">
      <c r="A2" s="8" t="s">
        <v>215</v>
      </c>
    </row>
    <row r="4" spans="1:7" ht="39.75" customHeight="1" x14ac:dyDescent="0.25">
      <c r="A4" s="13" t="s">
        <v>216</v>
      </c>
      <c r="B4" s="13" t="s">
        <v>217</v>
      </c>
      <c r="C4" s="18" t="s">
        <v>218</v>
      </c>
      <c r="D4" s="18" t="s">
        <v>219</v>
      </c>
      <c r="E4" s="18" t="s">
        <v>220</v>
      </c>
      <c r="F4" s="13" t="s">
        <v>221</v>
      </c>
      <c r="G4" s="19" t="s">
        <v>88</v>
      </c>
    </row>
    <row r="5" spans="1:7" ht="39.75" customHeight="1" x14ac:dyDescent="0.25">
      <c r="A5" s="20" t="s">
        <v>222</v>
      </c>
      <c r="B5" s="11" t="s">
        <v>223</v>
      </c>
      <c r="C5" s="10"/>
      <c r="D5" s="10"/>
      <c r="E5" s="10"/>
      <c r="F5" s="17" t="str">
        <f t="shared" ref="F5:F16" si="0">IF(E5="","",LEN(E5)-LEN(SUBSTITUTE(E5,",",""))+1)</f>
        <v/>
      </c>
      <c r="G5" s="12"/>
    </row>
    <row r="6" spans="1:7" ht="39.75" customHeight="1" x14ac:dyDescent="0.25">
      <c r="A6" s="20" t="s">
        <v>224</v>
      </c>
      <c r="B6" s="11" t="s">
        <v>225</v>
      </c>
      <c r="C6" s="10"/>
      <c r="D6" s="10"/>
      <c r="E6" s="10"/>
      <c r="F6" s="17" t="str">
        <f t="shared" si="0"/>
        <v/>
      </c>
      <c r="G6" s="12"/>
    </row>
    <row r="7" spans="1:7" ht="39.75" customHeight="1" x14ac:dyDescent="0.25">
      <c r="A7" s="20" t="s">
        <v>226</v>
      </c>
      <c r="B7" s="11" t="s">
        <v>227</v>
      </c>
      <c r="C7" s="10"/>
      <c r="D7" s="10"/>
      <c r="E7" s="10"/>
      <c r="F7" s="17" t="str">
        <f t="shared" si="0"/>
        <v/>
      </c>
      <c r="G7" s="12"/>
    </row>
    <row r="8" spans="1:7" ht="39.75" customHeight="1" x14ac:dyDescent="0.25">
      <c r="A8" s="20" t="s">
        <v>228</v>
      </c>
      <c r="B8" s="11" t="s">
        <v>229</v>
      </c>
      <c r="C8" s="10"/>
      <c r="D8" s="10"/>
      <c r="E8" s="10"/>
      <c r="F8" s="17" t="str">
        <f t="shared" si="0"/>
        <v/>
      </c>
      <c r="G8" s="12"/>
    </row>
    <row r="9" spans="1:7" ht="39.75" customHeight="1" x14ac:dyDescent="0.25">
      <c r="A9" s="20" t="s">
        <v>230</v>
      </c>
      <c r="B9" s="11" t="s">
        <v>231</v>
      </c>
      <c r="C9" s="10"/>
      <c r="D9" s="10"/>
      <c r="E9" s="10"/>
      <c r="F9" s="17" t="str">
        <f t="shared" si="0"/>
        <v/>
      </c>
      <c r="G9" s="12"/>
    </row>
    <row r="10" spans="1:7" ht="39.75" customHeight="1" x14ac:dyDescent="0.25">
      <c r="A10" s="20" t="s">
        <v>232</v>
      </c>
      <c r="B10" s="11" t="s">
        <v>233</v>
      </c>
      <c r="C10" s="10"/>
      <c r="D10" s="10"/>
      <c r="E10" s="10"/>
      <c r="F10" s="17" t="str">
        <f t="shared" si="0"/>
        <v/>
      </c>
      <c r="G10" s="12"/>
    </row>
    <row r="11" spans="1:7" ht="39.75" customHeight="1" x14ac:dyDescent="0.25">
      <c r="A11" s="20" t="s">
        <v>234</v>
      </c>
      <c r="B11" s="11" t="s">
        <v>235</v>
      </c>
      <c r="C11" s="10"/>
      <c r="D11" s="10"/>
      <c r="E11" s="10"/>
      <c r="F11" s="17" t="str">
        <f t="shared" si="0"/>
        <v/>
      </c>
      <c r="G11" s="12"/>
    </row>
    <row r="12" spans="1:7" ht="39.75" customHeight="1" x14ac:dyDescent="0.25">
      <c r="A12" s="20" t="s">
        <v>236</v>
      </c>
      <c r="B12" s="11" t="s">
        <v>237</v>
      </c>
      <c r="C12" s="10"/>
      <c r="D12" s="10"/>
      <c r="E12" s="10"/>
      <c r="F12" s="17" t="str">
        <f t="shared" si="0"/>
        <v/>
      </c>
      <c r="G12" s="12"/>
    </row>
    <row r="13" spans="1:7" ht="39.75" customHeight="1" x14ac:dyDescent="0.25">
      <c r="A13" s="20" t="s">
        <v>238</v>
      </c>
      <c r="B13" s="11" t="s">
        <v>239</v>
      </c>
      <c r="C13" s="10"/>
      <c r="D13" s="10"/>
      <c r="E13" s="10"/>
      <c r="F13" s="17" t="str">
        <f t="shared" si="0"/>
        <v/>
      </c>
      <c r="G13" s="12"/>
    </row>
    <row r="14" spans="1:7" ht="39.75" customHeight="1" x14ac:dyDescent="0.25">
      <c r="A14" s="20" t="s">
        <v>240</v>
      </c>
      <c r="B14" s="11" t="s">
        <v>241</v>
      </c>
      <c r="C14" s="10"/>
      <c r="D14" s="10"/>
      <c r="E14" s="10"/>
      <c r="F14" s="17" t="str">
        <f t="shared" si="0"/>
        <v/>
      </c>
      <c r="G14" s="12"/>
    </row>
    <row r="15" spans="1:7" ht="39.75" customHeight="1" x14ac:dyDescent="0.25">
      <c r="A15" s="20" t="s">
        <v>242</v>
      </c>
      <c r="B15" s="11" t="s">
        <v>243</v>
      </c>
      <c r="C15" s="10"/>
      <c r="D15" s="10"/>
      <c r="E15" s="10"/>
      <c r="F15" s="17" t="str">
        <f t="shared" si="0"/>
        <v/>
      </c>
      <c r="G15" s="12"/>
    </row>
    <row r="16" spans="1:7" ht="39.75" customHeight="1" x14ac:dyDescent="0.25">
      <c r="A16" s="20" t="s">
        <v>244</v>
      </c>
      <c r="B16" s="11" t="s">
        <v>245</v>
      </c>
      <c r="C16" s="10"/>
      <c r="D16" s="10"/>
      <c r="E16" s="10"/>
      <c r="F16" s="17" t="str">
        <f t="shared" si="0"/>
        <v/>
      </c>
      <c r="G16" s="12"/>
    </row>
    <row r="18" spans="1:3" x14ac:dyDescent="0.25">
      <c r="B18" s="15" t="s">
        <v>246</v>
      </c>
      <c r="C18" s="17">
        <f>SUM(F5:F16)</f>
        <v>0</v>
      </c>
    </row>
    <row r="19" spans="1:3" ht="25.5" x14ac:dyDescent="0.25">
      <c r="B19" s="15" t="s">
        <v>247</v>
      </c>
      <c r="C19" s="17">
        <f>COUNTIF('Test Cases'!E5:E64,"EP")+COUNTIF('Test Cases'!E5:E64,"BVA")</f>
        <v>0</v>
      </c>
    </row>
    <row r="20" spans="1:3" x14ac:dyDescent="0.25">
      <c r="B20" s="15" t="s">
        <v>248</v>
      </c>
      <c r="C20" s="17" t="str">
        <f>IF(C19&gt;=20,"OK","Need at least 20")</f>
        <v>Need at least 20</v>
      </c>
    </row>
    <row r="22" spans="1:3" x14ac:dyDescent="0.25">
      <c r="A22" s="21" t="s">
        <v>249</v>
      </c>
    </row>
  </sheetData>
  <conditionalFormatting sqref="C20">
    <cfRule type="expression" dxfId="14" priority="2">
      <formula>C20&lt;&gt;"OK"</formula>
    </cfRule>
  </conditionalFormatting>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71"/>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4" width="10" customWidth="1"/>
    <col min="5" max="5" width="12" customWidth="1"/>
    <col min="6" max="6" width="32" customWidth="1"/>
    <col min="7" max="9" width="30" customWidth="1"/>
    <col min="10" max="12" width="12" customWidth="1"/>
    <col min="13" max="13" width="26" customWidth="1"/>
  </cols>
  <sheetData>
    <row r="1" spans="1:13" ht="19.5" x14ac:dyDescent="0.3">
      <c r="A1" s="7" t="s">
        <v>40</v>
      </c>
    </row>
    <row r="2" spans="1:13" x14ac:dyDescent="0.25">
      <c r="A2" s="8" t="s">
        <v>250</v>
      </c>
    </row>
    <row r="4" spans="1:13" ht="33.75" customHeight="1" x14ac:dyDescent="0.25">
      <c r="A4" s="13" t="s">
        <v>251</v>
      </c>
      <c r="B4" s="18" t="s">
        <v>83</v>
      </c>
      <c r="C4" s="18" t="s">
        <v>252</v>
      </c>
      <c r="D4" s="18" t="s">
        <v>253</v>
      </c>
      <c r="E4" s="18" t="s">
        <v>254</v>
      </c>
      <c r="F4" s="18" t="s">
        <v>255</v>
      </c>
      <c r="G4" s="18" t="s">
        <v>256</v>
      </c>
      <c r="H4" s="18" t="s">
        <v>257</v>
      </c>
      <c r="I4" s="18" t="s">
        <v>258</v>
      </c>
      <c r="J4" s="18" t="s">
        <v>259</v>
      </c>
      <c r="K4" s="18" t="s">
        <v>260</v>
      </c>
      <c r="L4" s="18" t="s">
        <v>122</v>
      </c>
      <c r="M4" s="19" t="s">
        <v>88</v>
      </c>
    </row>
    <row r="5" spans="1:13" ht="33.75" customHeight="1" x14ac:dyDescent="0.25">
      <c r="A5" s="20" t="s">
        <v>261</v>
      </c>
      <c r="B5" s="10"/>
      <c r="C5" s="10"/>
      <c r="D5" s="10"/>
      <c r="E5" s="10"/>
      <c r="F5" s="10"/>
      <c r="G5" s="10"/>
      <c r="H5" s="10"/>
      <c r="I5" s="10"/>
      <c r="J5" s="10"/>
      <c r="K5" s="10"/>
      <c r="L5" s="10"/>
      <c r="M5" s="12"/>
    </row>
    <row r="6" spans="1:13" ht="33.75" customHeight="1" x14ac:dyDescent="0.25">
      <c r="A6" s="20" t="s">
        <v>262</v>
      </c>
      <c r="B6" s="10"/>
      <c r="C6" s="10"/>
      <c r="D6" s="10"/>
      <c r="E6" s="10"/>
      <c r="F6" s="10"/>
      <c r="G6" s="10"/>
      <c r="H6" s="10"/>
      <c r="I6" s="10"/>
      <c r="J6" s="10"/>
      <c r="K6" s="10"/>
      <c r="L6" s="10"/>
      <c r="M6" s="12"/>
    </row>
    <row r="7" spans="1:13" ht="33.75" customHeight="1" x14ac:dyDescent="0.25">
      <c r="A7" s="20" t="s">
        <v>263</v>
      </c>
      <c r="B7" s="10"/>
      <c r="C7" s="10"/>
      <c r="D7" s="10"/>
      <c r="E7" s="10"/>
      <c r="F7" s="10"/>
      <c r="G7" s="10"/>
      <c r="H7" s="10"/>
      <c r="I7" s="10"/>
      <c r="J7" s="10"/>
      <c r="K7" s="10"/>
      <c r="L7" s="10"/>
      <c r="M7" s="12"/>
    </row>
    <row r="8" spans="1:13" ht="33.75" customHeight="1" x14ac:dyDescent="0.25">
      <c r="A8" s="20" t="s">
        <v>264</v>
      </c>
      <c r="B8" s="10"/>
      <c r="C8" s="10"/>
      <c r="D8" s="10"/>
      <c r="E8" s="10"/>
      <c r="F8" s="10"/>
      <c r="G8" s="10"/>
      <c r="H8" s="10"/>
      <c r="I8" s="10"/>
      <c r="J8" s="10"/>
      <c r="K8" s="10"/>
      <c r="L8" s="10"/>
      <c r="M8" s="12"/>
    </row>
    <row r="9" spans="1:13" ht="33.75" customHeight="1" x14ac:dyDescent="0.25">
      <c r="A9" s="20" t="s">
        <v>265</v>
      </c>
      <c r="B9" s="10"/>
      <c r="C9" s="10"/>
      <c r="D9" s="10"/>
      <c r="E9" s="10"/>
      <c r="F9" s="10"/>
      <c r="G9" s="10"/>
      <c r="H9" s="10"/>
      <c r="I9" s="10"/>
      <c r="J9" s="10"/>
      <c r="K9" s="10"/>
      <c r="L9" s="10"/>
      <c r="M9" s="12"/>
    </row>
    <row r="10" spans="1:13" ht="33.75" customHeight="1" x14ac:dyDescent="0.25">
      <c r="A10" s="20" t="s">
        <v>266</v>
      </c>
      <c r="B10" s="10"/>
      <c r="C10" s="10"/>
      <c r="D10" s="10"/>
      <c r="E10" s="10"/>
      <c r="F10" s="10"/>
      <c r="G10" s="10"/>
      <c r="H10" s="10"/>
      <c r="I10" s="10"/>
      <c r="J10" s="10"/>
      <c r="K10" s="10"/>
      <c r="L10" s="10"/>
      <c r="M10" s="12"/>
    </row>
    <row r="11" spans="1:13" ht="33.75" customHeight="1" x14ac:dyDescent="0.25">
      <c r="A11" s="20" t="s">
        <v>267</v>
      </c>
      <c r="B11" s="10"/>
      <c r="C11" s="10"/>
      <c r="D11" s="10"/>
      <c r="E11" s="10"/>
      <c r="F11" s="10"/>
      <c r="G11" s="10"/>
      <c r="H11" s="10"/>
      <c r="I11" s="10"/>
      <c r="J11" s="10"/>
      <c r="K11" s="10"/>
      <c r="L11" s="10"/>
      <c r="M11" s="12"/>
    </row>
    <row r="12" spans="1:13" ht="33.75" customHeight="1" x14ac:dyDescent="0.25">
      <c r="A12" s="20" t="s">
        <v>268</v>
      </c>
      <c r="B12" s="10"/>
      <c r="C12" s="10"/>
      <c r="D12" s="10"/>
      <c r="E12" s="10"/>
      <c r="F12" s="10"/>
      <c r="G12" s="10"/>
      <c r="H12" s="10"/>
      <c r="I12" s="10"/>
      <c r="J12" s="10"/>
      <c r="K12" s="10"/>
      <c r="L12" s="10"/>
      <c r="M12" s="12"/>
    </row>
    <row r="13" spans="1:13" ht="33.75" customHeight="1" x14ac:dyDescent="0.25">
      <c r="A13" s="20" t="s">
        <v>269</v>
      </c>
      <c r="B13" s="10"/>
      <c r="C13" s="10"/>
      <c r="D13" s="10"/>
      <c r="E13" s="10"/>
      <c r="F13" s="10"/>
      <c r="G13" s="10"/>
      <c r="H13" s="10"/>
      <c r="I13" s="10"/>
      <c r="J13" s="10"/>
      <c r="K13" s="10"/>
      <c r="L13" s="10"/>
      <c r="M13" s="12"/>
    </row>
    <row r="14" spans="1:13" ht="33.75" customHeight="1" x14ac:dyDescent="0.25">
      <c r="A14" s="20" t="s">
        <v>270</v>
      </c>
      <c r="B14" s="10"/>
      <c r="C14" s="10"/>
      <c r="D14" s="10"/>
      <c r="E14" s="10"/>
      <c r="F14" s="10"/>
      <c r="G14" s="10"/>
      <c r="H14" s="10"/>
      <c r="I14" s="10"/>
      <c r="J14" s="10"/>
      <c r="K14" s="10"/>
      <c r="L14" s="10"/>
      <c r="M14" s="12"/>
    </row>
    <row r="15" spans="1:13" ht="33.75" customHeight="1" x14ac:dyDescent="0.25">
      <c r="A15" s="20" t="s">
        <v>271</v>
      </c>
      <c r="B15" s="10"/>
      <c r="C15" s="10"/>
      <c r="D15" s="10"/>
      <c r="E15" s="10"/>
      <c r="F15" s="10"/>
      <c r="G15" s="10"/>
      <c r="H15" s="10"/>
      <c r="I15" s="10"/>
      <c r="J15" s="10"/>
      <c r="K15" s="10"/>
      <c r="L15" s="10"/>
      <c r="M15" s="12"/>
    </row>
    <row r="16" spans="1:13" ht="33.75" customHeight="1" x14ac:dyDescent="0.25">
      <c r="A16" s="20" t="s">
        <v>272</v>
      </c>
      <c r="B16" s="10"/>
      <c r="C16" s="10"/>
      <c r="D16" s="10"/>
      <c r="E16" s="10"/>
      <c r="F16" s="10"/>
      <c r="G16" s="10"/>
      <c r="H16" s="10"/>
      <c r="I16" s="10"/>
      <c r="J16" s="10"/>
      <c r="K16" s="10"/>
      <c r="L16" s="10"/>
      <c r="M16" s="12"/>
    </row>
    <row r="17" spans="1:13" ht="33.75" customHeight="1" x14ac:dyDescent="0.25">
      <c r="A17" s="20" t="s">
        <v>273</v>
      </c>
      <c r="B17" s="10"/>
      <c r="C17" s="10"/>
      <c r="D17" s="10"/>
      <c r="E17" s="10"/>
      <c r="F17" s="10"/>
      <c r="G17" s="10"/>
      <c r="H17" s="10"/>
      <c r="I17" s="10"/>
      <c r="J17" s="10"/>
      <c r="K17" s="10"/>
      <c r="L17" s="10"/>
      <c r="M17" s="12"/>
    </row>
    <row r="18" spans="1:13" ht="33.75" customHeight="1" x14ac:dyDescent="0.25">
      <c r="A18" s="20" t="s">
        <v>274</v>
      </c>
      <c r="B18" s="10"/>
      <c r="C18" s="10"/>
      <c r="D18" s="10"/>
      <c r="E18" s="10"/>
      <c r="F18" s="10"/>
      <c r="G18" s="10"/>
      <c r="H18" s="10"/>
      <c r="I18" s="10"/>
      <c r="J18" s="10"/>
      <c r="K18" s="10"/>
      <c r="L18" s="10"/>
      <c r="M18" s="12"/>
    </row>
    <row r="19" spans="1:13" ht="33.75" customHeight="1" x14ac:dyDescent="0.25">
      <c r="A19" s="20" t="s">
        <v>275</v>
      </c>
      <c r="B19" s="10"/>
      <c r="C19" s="10"/>
      <c r="D19" s="10"/>
      <c r="E19" s="10"/>
      <c r="F19" s="10"/>
      <c r="G19" s="10"/>
      <c r="H19" s="10"/>
      <c r="I19" s="10"/>
      <c r="J19" s="10"/>
      <c r="K19" s="10"/>
      <c r="L19" s="10"/>
      <c r="M19" s="12"/>
    </row>
    <row r="20" spans="1:13" ht="33.75" customHeight="1" x14ac:dyDescent="0.25">
      <c r="A20" s="20" t="s">
        <v>276</v>
      </c>
      <c r="B20" s="10"/>
      <c r="C20" s="10"/>
      <c r="D20" s="10"/>
      <c r="E20" s="10"/>
      <c r="F20" s="10"/>
      <c r="G20" s="10"/>
      <c r="H20" s="10"/>
      <c r="I20" s="10"/>
      <c r="J20" s="10"/>
      <c r="K20" s="10"/>
      <c r="L20" s="10"/>
      <c r="M20" s="12"/>
    </row>
    <row r="21" spans="1:13" ht="33.75" customHeight="1" x14ac:dyDescent="0.25">
      <c r="A21" s="20" t="s">
        <v>277</v>
      </c>
      <c r="B21" s="10"/>
      <c r="C21" s="10"/>
      <c r="D21" s="10"/>
      <c r="E21" s="10"/>
      <c r="F21" s="10"/>
      <c r="G21" s="10"/>
      <c r="H21" s="10"/>
      <c r="I21" s="10"/>
      <c r="J21" s="10"/>
      <c r="K21" s="10"/>
      <c r="L21" s="10"/>
      <c r="M21" s="12"/>
    </row>
    <row r="22" spans="1:13" ht="33.75" customHeight="1" x14ac:dyDescent="0.25">
      <c r="A22" s="20" t="s">
        <v>278</v>
      </c>
      <c r="B22" s="10"/>
      <c r="C22" s="10"/>
      <c r="D22" s="10"/>
      <c r="E22" s="10"/>
      <c r="F22" s="10"/>
      <c r="G22" s="10"/>
      <c r="H22" s="10"/>
      <c r="I22" s="10"/>
      <c r="J22" s="10"/>
      <c r="K22" s="10"/>
      <c r="L22" s="10"/>
      <c r="M22" s="12"/>
    </row>
    <row r="23" spans="1:13" ht="33.75" customHeight="1" x14ac:dyDescent="0.25">
      <c r="A23" s="20" t="s">
        <v>279</v>
      </c>
      <c r="B23" s="10"/>
      <c r="C23" s="10"/>
      <c r="D23" s="10"/>
      <c r="E23" s="10"/>
      <c r="F23" s="10"/>
      <c r="G23" s="10"/>
      <c r="H23" s="10"/>
      <c r="I23" s="10"/>
      <c r="J23" s="10"/>
      <c r="K23" s="10"/>
      <c r="L23" s="10"/>
      <c r="M23" s="12"/>
    </row>
    <row r="24" spans="1:13" ht="33.75" customHeight="1" x14ac:dyDescent="0.25">
      <c r="A24" s="20" t="s">
        <v>280</v>
      </c>
      <c r="B24" s="10"/>
      <c r="C24" s="10"/>
      <c r="D24" s="10"/>
      <c r="E24" s="10"/>
      <c r="F24" s="10"/>
      <c r="G24" s="10"/>
      <c r="H24" s="10"/>
      <c r="I24" s="10"/>
      <c r="J24" s="10"/>
      <c r="K24" s="10"/>
      <c r="L24" s="10"/>
      <c r="M24" s="12"/>
    </row>
    <row r="25" spans="1:13" ht="33.75" customHeight="1" x14ac:dyDescent="0.25">
      <c r="A25" s="20" t="s">
        <v>281</v>
      </c>
      <c r="B25" s="10"/>
      <c r="C25" s="10"/>
      <c r="D25" s="10"/>
      <c r="E25" s="10"/>
      <c r="F25" s="10"/>
      <c r="G25" s="10"/>
      <c r="H25" s="10"/>
      <c r="I25" s="10"/>
      <c r="J25" s="10"/>
      <c r="K25" s="10"/>
      <c r="L25" s="10"/>
      <c r="M25" s="12"/>
    </row>
    <row r="26" spans="1:13" ht="33.75" customHeight="1" x14ac:dyDescent="0.25">
      <c r="A26" s="20" t="s">
        <v>282</v>
      </c>
      <c r="B26" s="10"/>
      <c r="C26" s="10"/>
      <c r="D26" s="10"/>
      <c r="E26" s="10"/>
      <c r="F26" s="10"/>
      <c r="G26" s="10"/>
      <c r="H26" s="10"/>
      <c r="I26" s="10"/>
      <c r="J26" s="10"/>
      <c r="K26" s="10"/>
      <c r="L26" s="10"/>
      <c r="M26" s="12"/>
    </row>
    <row r="27" spans="1:13" ht="33.75" customHeight="1" x14ac:dyDescent="0.25">
      <c r="A27" s="20" t="s">
        <v>283</v>
      </c>
      <c r="B27" s="10"/>
      <c r="C27" s="10"/>
      <c r="D27" s="10"/>
      <c r="E27" s="10"/>
      <c r="F27" s="10"/>
      <c r="G27" s="10"/>
      <c r="H27" s="10"/>
      <c r="I27" s="10"/>
      <c r="J27" s="10"/>
      <c r="K27" s="10"/>
      <c r="L27" s="10"/>
      <c r="M27" s="12"/>
    </row>
    <row r="28" spans="1:13" ht="33.75" customHeight="1" x14ac:dyDescent="0.25">
      <c r="A28" s="20" t="s">
        <v>284</v>
      </c>
      <c r="B28" s="10"/>
      <c r="C28" s="10"/>
      <c r="D28" s="10"/>
      <c r="E28" s="10"/>
      <c r="F28" s="10"/>
      <c r="G28" s="10"/>
      <c r="H28" s="10"/>
      <c r="I28" s="10"/>
      <c r="J28" s="10"/>
      <c r="K28" s="10"/>
      <c r="L28" s="10"/>
      <c r="M28" s="12"/>
    </row>
    <row r="29" spans="1:13" ht="33.75" customHeight="1" x14ac:dyDescent="0.25">
      <c r="A29" s="20" t="s">
        <v>285</v>
      </c>
      <c r="B29" s="10"/>
      <c r="C29" s="10"/>
      <c r="D29" s="10"/>
      <c r="E29" s="10"/>
      <c r="F29" s="10"/>
      <c r="G29" s="10"/>
      <c r="H29" s="10"/>
      <c r="I29" s="10"/>
      <c r="J29" s="10"/>
      <c r="K29" s="10"/>
      <c r="L29" s="10"/>
      <c r="M29" s="12"/>
    </row>
    <row r="30" spans="1:13" ht="33.75" customHeight="1" x14ac:dyDescent="0.25">
      <c r="A30" s="20" t="s">
        <v>286</v>
      </c>
      <c r="B30" s="10"/>
      <c r="C30" s="10"/>
      <c r="D30" s="10"/>
      <c r="E30" s="10"/>
      <c r="F30" s="10"/>
      <c r="G30" s="10"/>
      <c r="H30" s="10"/>
      <c r="I30" s="10"/>
      <c r="J30" s="10"/>
      <c r="K30" s="10"/>
      <c r="L30" s="10"/>
      <c r="M30" s="12"/>
    </row>
    <row r="31" spans="1:13" ht="33.75" customHeight="1" x14ac:dyDescent="0.25">
      <c r="A31" s="20" t="s">
        <v>287</v>
      </c>
      <c r="B31" s="10"/>
      <c r="C31" s="10"/>
      <c r="D31" s="10"/>
      <c r="E31" s="10"/>
      <c r="F31" s="10"/>
      <c r="G31" s="10"/>
      <c r="H31" s="10"/>
      <c r="I31" s="10"/>
      <c r="J31" s="10"/>
      <c r="K31" s="10"/>
      <c r="L31" s="10"/>
      <c r="M31" s="12"/>
    </row>
    <row r="32" spans="1:13" ht="33.75" customHeight="1" x14ac:dyDescent="0.25">
      <c r="A32" s="20" t="s">
        <v>288</v>
      </c>
      <c r="B32" s="10"/>
      <c r="C32" s="10"/>
      <c r="D32" s="10"/>
      <c r="E32" s="10"/>
      <c r="F32" s="10"/>
      <c r="G32" s="10"/>
      <c r="H32" s="10"/>
      <c r="I32" s="10"/>
      <c r="J32" s="10"/>
      <c r="K32" s="10"/>
      <c r="L32" s="10"/>
      <c r="M32" s="12"/>
    </row>
    <row r="33" spans="1:13" ht="33.75" customHeight="1" x14ac:dyDescent="0.25">
      <c r="A33" s="20" t="s">
        <v>289</v>
      </c>
      <c r="B33" s="10"/>
      <c r="C33" s="10"/>
      <c r="D33" s="10"/>
      <c r="E33" s="10"/>
      <c r="F33" s="10"/>
      <c r="G33" s="10"/>
      <c r="H33" s="10"/>
      <c r="I33" s="10"/>
      <c r="J33" s="10"/>
      <c r="K33" s="10"/>
      <c r="L33" s="10"/>
      <c r="M33" s="12"/>
    </row>
    <row r="34" spans="1:13" ht="33.75" customHeight="1" x14ac:dyDescent="0.25">
      <c r="A34" s="20" t="s">
        <v>290</v>
      </c>
      <c r="B34" s="10"/>
      <c r="C34" s="10"/>
      <c r="D34" s="10"/>
      <c r="E34" s="10"/>
      <c r="F34" s="10"/>
      <c r="G34" s="10"/>
      <c r="H34" s="10"/>
      <c r="I34" s="10"/>
      <c r="J34" s="10"/>
      <c r="K34" s="10"/>
      <c r="L34" s="10"/>
      <c r="M34" s="12"/>
    </row>
    <row r="35" spans="1:13" ht="33.75" customHeight="1" x14ac:dyDescent="0.25">
      <c r="A35" s="20" t="s">
        <v>291</v>
      </c>
      <c r="B35" s="10"/>
      <c r="C35" s="10"/>
      <c r="D35" s="10"/>
      <c r="E35" s="10"/>
      <c r="F35" s="10"/>
      <c r="G35" s="10"/>
      <c r="H35" s="10"/>
      <c r="I35" s="10"/>
      <c r="J35" s="10"/>
      <c r="K35" s="10"/>
      <c r="L35" s="10"/>
      <c r="M35" s="12"/>
    </row>
    <row r="36" spans="1:13" ht="33.75" customHeight="1" x14ac:dyDescent="0.25">
      <c r="A36" s="20" t="s">
        <v>292</v>
      </c>
      <c r="B36" s="10"/>
      <c r="C36" s="10"/>
      <c r="D36" s="10"/>
      <c r="E36" s="10"/>
      <c r="F36" s="10"/>
      <c r="G36" s="10"/>
      <c r="H36" s="10"/>
      <c r="I36" s="10"/>
      <c r="J36" s="10"/>
      <c r="K36" s="10"/>
      <c r="L36" s="10"/>
      <c r="M36" s="12"/>
    </row>
    <row r="37" spans="1:13" ht="33.75" customHeight="1" x14ac:dyDescent="0.25">
      <c r="A37" s="20" t="s">
        <v>293</v>
      </c>
      <c r="B37" s="10"/>
      <c r="C37" s="10"/>
      <c r="D37" s="10"/>
      <c r="E37" s="10"/>
      <c r="F37" s="10"/>
      <c r="G37" s="10"/>
      <c r="H37" s="10"/>
      <c r="I37" s="10"/>
      <c r="J37" s="10"/>
      <c r="K37" s="10"/>
      <c r="L37" s="10"/>
      <c r="M37" s="12"/>
    </row>
    <row r="38" spans="1:13" ht="33.75" customHeight="1" x14ac:dyDescent="0.25">
      <c r="A38" s="20" t="s">
        <v>294</v>
      </c>
      <c r="B38" s="10"/>
      <c r="C38" s="10"/>
      <c r="D38" s="10"/>
      <c r="E38" s="10"/>
      <c r="F38" s="10"/>
      <c r="G38" s="10"/>
      <c r="H38" s="10"/>
      <c r="I38" s="10"/>
      <c r="J38" s="10"/>
      <c r="K38" s="10"/>
      <c r="L38" s="10"/>
      <c r="M38" s="12"/>
    </row>
    <row r="39" spans="1:13" ht="33.75" customHeight="1" x14ac:dyDescent="0.25">
      <c r="A39" s="20" t="s">
        <v>295</v>
      </c>
      <c r="B39" s="10"/>
      <c r="C39" s="10"/>
      <c r="D39" s="10"/>
      <c r="E39" s="10"/>
      <c r="F39" s="10"/>
      <c r="G39" s="10"/>
      <c r="H39" s="10"/>
      <c r="I39" s="10"/>
      <c r="J39" s="10"/>
      <c r="K39" s="10"/>
      <c r="L39" s="10"/>
      <c r="M39" s="12"/>
    </row>
    <row r="40" spans="1:13" ht="33.75" customHeight="1" x14ac:dyDescent="0.25">
      <c r="A40" s="20" t="s">
        <v>296</v>
      </c>
      <c r="B40" s="10"/>
      <c r="C40" s="10"/>
      <c r="D40" s="10"/>
      <c r="E40" s="10"/>
      <c r="F40" s="10"/>
      <c r="G40" s="10"/>
      <c r="H40" s="10"/>
      <c r="I40" s="10"/>
      <c r="J40" s="10"/>
      <c r="K40" s="10"/>
      <c r="L40" s="10"/>
      <c r="M40" s="12"/>
    </row>
    <row r="41" spans="1:13" ht="33.75" customHeight="1" x14ac:dyDescent="0.25">
      <c r="A41" s="20" t="s">
        <v>297</v>
      </c>
      <c r="B41" s="10"/>
      <c r="C41" s="10"/>
      <c r="D41" s="10"/>
      <c r="E41" s="10"/>
      <c r="F41" s="10"/>
      <c r="G41" s="10"/>
      <c r="H41" s="10"/>
      <c r="I41" s="10"/>
      <c r="J41" s="10"/>
      <c r="K41" s="10"/>
      <c r="L41" s="10"/>
      <c r="M41" s="12"/>
    </row>
    <row r="42" spans="1:13" ht="33.75" customHeight="1" x14ac:dyDescent="0.25">
      <c r="A42" s="20" t="s">
        <v>298</v>
      </c>
      <c r="B42" s="10"/>
      <c r="C42" s="10"/>
      <c r="D42" s="10"/>
      <c r="E42" s="10"/>
      <c r="F42" s="10"/>
      <c r="G42" s="10"/>
      <c r="H42" s="10"/>
      <c r="I42" s="10"/>
      <c r="J42" s="10"/>
      <c r="K42" s="10"/>
      <c r="L42" s="10"/>
      <c r="M42" s="12"/>
    </row>
    <row r="43" spans="1:13" ht="33.75" customHeight="1" x14ac:dyDescent="0.25">
      <c r="A43" s="20" t="s">
        <v>299</v>
      </c>
      <c r="B43" s="10"/>
      <c r="C43" s="10"/>
      <c r="D43" s="10"/>
      <c r="E43" s="10"/>
      <c r="F43" s="10"/>
      <c r="G43" s="10"/>
      <c r="H43" s="10"/>
      <c r="I43" s="10"/>
      <c r="J43" s="10"/>
      <c r="K43" s="10"/>
      <c r="L43" s="10"/>
      <c r="M43" s="12"/>
    </row>
    <row r="44" spans="1:13" ht="33.75" customHeight="1" x14ac:dyDescent="0.25">
      <c r="A44" s="20" t="s">
        <v>300</v>
      </c>
      <c r="B44" s="10"/>
      <c r="C44" s="10"/>
      <c r="D44" s="10"/>
      <c r="E44" s="10"/>
      <c r="F44" s="10"/>
      <c r="G44" s="10"/>
      <c r="H44" s="10"/>
      <c r="I44" s="10"/>
      <c r="J44" s="10"/>
      <c r="K44" s="10"/>
      <c r="L44" s="10"/>
      <c r="M44" s="12"/>
    </row>
    <row r="45" spans="1:13" ht="33.75" customHeight="1" x14ac:dyDescent="0.25">
      <c r="A45" s="20" t="s">
        <v>301</v>
      </c>
      <c r="B45" s="10"/>
      <c r="C45" s="10"/>
      <c r="D45" s="10"/>
      <c r="E45" s="10"/>
      <c r="F45" s="10"/>
      <c r="G45" s="10"/>
      <c r="H45" s="10"/>
      <c r="I45" s="10"/>
      <c r="J45" s="10"/>
      <c r="K45" s="10"/>
      <c r="L45" s="10"/>
      <c r="M45" s="12"/>
    </row>
    <row r="46" spans="1:13" ht="33.75" customHeight="1" x14ac:dyDescent="0.25">
      <c r="A46" s="20" t="s">
        <v>302</v>
      </c>
      <c r="B46" s="10"/>
      <c r="C46" s="10"/>
      <c r="D46" s="10"/>
      <c r="E46" s="10"/>
      <c r="F46" s="10"/>
      <c r="G46" s="10"/>
      <c r="H46" s="10"/>
      <c r="I46" s="10"/>
      <c r="J46" s="10"/>
      <c r="K46" s="10"/>
      <c r="L46" s="10"/>
      <c r="M46" s="12"/>
    </row>
    <row r="47" spans="1:13" ht="33.75" customHeight="1" x14ac:dyDescent="0.25">
      <c r="A47" s="20" t="s">
        <v>303</v>
      </c>
      <c r="B47" s="10"/>
      <c r="C47" s="10"/>
      <c r="D47" s="10"/>
      <c r="E47" s="10"/>
      <c r="F47" s="10"/>
      <c r="G47" s="10"/>
      <c r="H47" s="10"/>
      <c r="I47" s="10"/>
      <c r="J47" s="10"/>
      <c r="K47" s="10"/>
      <c r="L47" s="10"/>
      <c r="M47" s="12"/>
    </row>
    <row r="48" spans="1:13" ht="33.75" customHeight="1" x14ac:dyDescent="0.25">
      <c r="A48" s="20" t="s">
        <v>304</v>
      </c>
      <c r="B48" s="10"/>
      <c r="C48" s="10"/>
      <c r="D48" s="10"/>
      <c r="E48" s="10"/>
      <c r="F48" s="10"/>
      <c r="G48" s="10"/>
      <c r="H48" s="10"/>
      <c r="I48" s="10"/>
      <c r="J48" s="10"/>
      <c r="K48" s="10"/>
      <c r="L48" s="10"/>
      <c r="M48" s="12"/>
    </row>
    <row r="49" spans="1:13" ht="33.75" customHeight="1" x14ac:dyDescent="0.25">
      <c r="A49" s="20" t="s">
        <v>305</v>
      </c>
      <c r="B49" s="10"/>
      <c r="C49" s="10"/>
      <c r="D49" s="10"/>
      <c r="E49" s="10"/>
      <c r="F49" s="10"/>
      <c r="G49" s="10"/>
      <c r="H49" s="10"/>
      <c r="I49" s="10"/>
      <c r="J49" s="10"/>
      <c r="K49" s="10"/>
      <c r="L49" s="10"/>
      <c r="M49" s="12"/>
    </row>
    <row r="50" spans="1:13" ht="33.75" customHeight="1" x14ac:dyDescent="0.25">
      <c r="A50" s="20" t="s">
        <v>306</v>
      </c>
      <c r="B50" s="10"/>
      <c r="C50" s="10"/>
      <c r="D50" s="10"/>
      <c r="E50" s="10"/>
      <c r="F50" s="10"/>
      <c r="G50" s="10"/>
      <c r="H50" s="10"/>
      <c r="I50" s="10"/>
      <c r="J50" s="10"/>
      <c r="K50" s="10"/>
      <c r="L50" s="10"/>
      <c r="M50" s="12"/>
    </row>
    <row r="51" spans="1:13" ht="33.75" customHeight="1" x14ac:dyDescent="0.25">
      <c r="A51" s="20" t="s">
        <v>307</v>
      </c>
      <c r="B51" s="10"/>
      <c r="C51" s="10"/>
      <c r="D51" s="10"/>
      <c r="E51" s="10"/>
      <c r="F51" s="10"/>
      <c r="G51" s="10"/>
      <c r="H51" s="10"/>
      <c r="I51" s="10"/>
      <c r="J51" s="10"/>
      <c r="K51" s="10"/>
      <c r="L51" s="10"/>
      <c r="M51" s="12"/>
    </row>
    <row r="52" spans="1:13" ht="33.75" customHeight="1" x14ac:dyDescent="0.25">
      <c r="A52" s="20" t="s">
        <v>308</v>
      </c>
      <c r="B52" s="10"/>
      <c r="C52" s="10"/>
      <c r="D52" s="10"/>
      <c r="E52" s="10"/>
      <c r="F52" s="10"/>
      <c r="G52" s="10"/>
      <c r="H52" s="10"/>
      <c r="I52" s="10"/>
      <c r="J52" s="10"/>
      <c r="K52" s="10"/>
      <c r="L52" s="10"/>
      <c r="M52" s="12"/>
    </row>
    <row r="53" spans="1:13" ht="33.75" customHeight="1" x14ac:dyDescent="0.25">
      <c r="A53" s="20" t="s">
        <v>309</v>
      </c>
      <c r="B53" s="10"/>
      <c r="C53" s="10"/>
      <c r="D53" s="10"/>
      <c r="E53" s="10"/>
      <c r="F53" s="10"/>
      <c r="G53" s="10"/>
      <c r="H53" s="10"/>
      <c r="I53" s="10"/>
      <c r="J53" s="10"/>
      <c r="K53" s="10"/>
      <c r="L53" s="10"/>
      <c r="M53" s="12"/>
    </row>
    <row r="54" spans="1:13" ht="33.75" customHeight="1" x14ac:dyDescent="0.25">
      <c r="A54" s="20" t="s">
        <v>310</v>
      </c>
      <c r="B54" s="10"/>
      <c r="C54" s="10"/>
      <c r="D54" s="10"/>
      <c r="E54" s="10"/>
      <c r="F54" s="10"/>
      <c r="G54" s="10"/>
      <c r="H54" s="10"/>
      <c r="I54" s="10"/>
      <c r="J54" s="10"/>
      <c r="K54" s="10"/>
      <c r="L54" s="10"/>
      <c r="M54" s="12"/>
    </row>
    <row r="55" spans="1:13" ht="33.75" customHeight="1" x14ac:dyDescent="0.25">
      <c r="A55" s="20" t="s">
        <v>311</v>
      </c>
      <c r="B55" s="10"/>
      <c r="C55" s="10"/>
      <c r="D55" s="10"/>
      <c r="E55" s="10"/>
      <c r="F55" s="10"/>
      <c r="G55" s="10"/>
      <c r="H55" s="10"/>
      <c r="I55" s="10"/>
      <c r="J55" s="10"/>
      <c r="K55" s="10"/>
      <c r="L55" s="10"/>
      <c r="M55" s="12"/>
    </row>
    <row r="56" spans="1:13" ht="33.75" customHeight="1" x14ac:dyDescent="0.25">
      <c r="A56" s="20" t="s">
        <v>312</v>
      </c>
      <c r="B56" s="10"/>
      <c r="C56" s="10"/>
      <c r="D56" s="10"/>
      <c r="E56" s="10"/>
      <c r="F56" s="10"/>
      <c r="G56" s="10"/>
      <c r="H56" s="10"/>
      <c r="I56" s="10"/>
      <c r="J56" s="10"/>
      <c r="K56" s="10"/>
      <c r="L56" s="10"/>
      <c r="M56" s="12"/>
    </row>
    <row r="57" spans="1:13" ht="33.75" customHeight="1" x14ac:dyDescent="0.25">
      <c r="A57" s="20" t="s">
        <v>313</v>
      </c>
      <c r="B57" s="10"/>
      <c r="C57" s="10"/>
      <c r="D57" s="10"/>
      <c r="E57" s="10"/>
      <c r="F57" s="10"/>
      <c r="G57" s="10"/>
      <c r="H57" s="10"/>
      <c r="I57" s="10"/>
      <c r="J57" s="10"/>
      <c r="K57" s="10"/>
      <c r="L57" s="10"/>
      <c r="M57" s="12"/>
    </row>
    <row r="58" spans="1:13" ht="33.75" customHeight="1" x14ac:dyDescent="0.25">
      <c r="A58" s="20" t="s">
        <v>314</v>
      </c>
      <c r="B58" s="10"/>
      <c r="C58" s="10"/>
      <c r="D58" s="10"/>
      <c r="E58" s="10"/>
      <c r="F58" s="10"/>
      <c r="G58" s="10"/>
      <c r="H58" s="10"/>
      <c r="I58" s="10"/>
      <c r="J58" s="10"/>
      <c r="K58" s="10"/>
      <c r="L58" s="10"/>
      <c r="M58" s="12"/>
    </row>
    <row r="59" spans="1:13" ht="33.75" customHeight="1" x14ac:dyDescent="0.25">
      <c r="A59" s="20" t="s">
        <v>315</v>
      </c>
      <c r="B59" s="10"/>
      <c r="C59" s="10"/>
      <c r="D59" s="10"/>
      <c r="E59" s="10"/>
      <c r="F59" s="10"/>
      <c r="G59" s="10"/>
      <c r="H59" s="10"/>
      <c r="I59" s="10"/>
      <c r="J59" s="10"/>
      <c r="K59" s="10"/>
      <c r="L59" s="10"/>
      <c r="M59" s="12"/>
    </row>
    <row r="60" spans="1:13" ht="33.75" customHeight="1" x14ac:dyDescent="0.25">
      <c r="A60" s="20" t="s">
        <v>316</v>
      </c>
      <c r="B60" s="10"/>
      <c r="C60" s="10"/>
      <c r="D60" s="10"/>
      <c r="E60" s="10"/>
      <c r="F60" s="10"/>
      <c r="G60" s="10"/>
      <c r="H60" s="10"/>
      <c r="I60" s="10"/>
      <c r="J60" s="10"/>
      <c r="K60" s="10"/>
      <c r="L60" s="10"/>
      <c r="M60" s="12"/>
    </row>
    <row r="61" spans="1:13" ht="33.75" customHeight="1" x14ac:dyDescent="0.25">
      <c r="A61" s="20" t="s">
        <v>317</v>
      </c>
      <c r="B61" s="10"/>
      <c r="C61" s="10"/>
      <c r="D61" s="10"/>
      <c r="E61" s="10"/>
      <c r="F61" s="10"/>
      <c r="G61" s="10"/>
      <c r="H61" s="10"/>
      <c r="I61" s="10"/>
      <c r="J61" s="10"/>
      <c r="K61" s="10"/>
      <c r="L61" s="10"/>
      <c r="M61" s="12"/>
    </row>
    <row r="62" spans="1:13" ht="33.75" customHeight="1" x14ac:dyDescent="0.25">
      <c r="A62" s="20" t="s">
        <v>318</v>
      </c>
      <c r="B62" s="10"/>
      <c r="C62" s="10"/>
      <c r="D62" s="10"/>
      <c r="E62" s="10"/>
      <c r="F62" s="10"/>
      <c r="G62" s="10"/>
      <c r="H62" s="10"/>
      <c r="I62" s="10"/>
      <c r="J62" s="10"/>
      <c r="K62" s="10"/>
      <c r="L62" s="10"/>
      <c r="M62" s="12"/>
    </row>
    <row r="63" spans="1:13" ht="33.75" customHeight="1" x14ac:dyDescent="0.25">
      <c r="A63" s="20" t="s">
        <v>319</v>
      </c>
      <c r="B63" s="10"/>
      <c r="C63" s="10"/>
      <c r="D63" s="10"/>
      <c r="E63" s="10"/>
      <c r="F63" s="10"/>
      <c r="G63" s="10"/>
      <c r="H63" s="10"/>
      <c r="I63" s="10"/>
      <c r="J63" s="10"/>
      <c r="K63" s="10"/>
      <c r="L63" s="10"/>
      <c r="M63" s="12"/>
    </row>
    <row r="64" spans="1:13" ht="33.75" customHeight="1" x14ac:dyDescent="0.25">
      <c r="A64" s="20" t="s">
        <v>320</v>
      </c>
      <c r="B64" s="10"/>
      <c r="C64" s="10"/>
      <c r="D64" s="10"/>
      <c r="E64" s="10"/>
      <c r="F64" s="10"/>
      <c r="G64" s="10"/>
      <c r="H64" s="10"/>
      <c r="I64" s="10"/>
      <c r="J64" s="10"/>
      <c r="K64" s="10"/>
      <c r="L64" s="10"/>
      <c r="M64" s="12"/>
    </row>
    <row r="66" spans="6:7" x14ac:dyDescent="0.25">
      <c r="F66" s="15" t="s">
        <v>321</v>
      </c>
      <c r="G66" s="17">
        <f>COUNTIF(J5:J64,"Pass")</f>
        <v>0</v>
      </c>
    </row>
    <row r="67" spans="6:7" x14ac:dyDescent="0.25">
      <c r="F67" s="15" t="s">
        <v>322</v>
      </c>
      <c r="G67" s="17">
        <f>COUNTIF(J5:J64,"Fail")</f>
        <v>0</v>
      </c>
    </row>
    <row r="68" spans="6:7" x14ac:dyDescent="0.25">
      <c r="F68" s="15" t="s">
        <v>323</v>
      </c>
      <c r="G68" s="17">
        <f>COUNTIF(J5:J64,"Not run")</f>
        <v>0</v>
      </c>
    </row>
    <row r="69" spans="6:7" x14ac:dyDescent="0.25">
      <c r="F69" s="15" t="s">
        <v>324</v>
      </c>
      <c r="G69" s="23" t="str">
        <f>IFERROR(G66/(G66+G67),"")</f>
        <v/>
      </c>
    </row>
    <row r="70" spans="6:7" x14ac:dyDescent="0.25">
      <c r="F70" s="15" t="s">
        <v>325</v>
      </c>
      <c r="G70" s="17">
        <f>COUNTIF(E5:E64,"EP")+COUNTIF(E5:E64,"BVA")</f>
        <v>0</v>
      </c>
    </row>
    <row r="71" spans="6:7" x14ac:dyDescent="0.25">
      <c r="F71" s="15" t="s">
        <v>326</v>
      </c>
      <c r="G71" s="17">
        <f>COUNTA('State Tests'!B17:B31)</f>
        <v>0</v>
      </c>
    </row>
  </sheetData>
  <conditionalFormatting sqref="J5:J64">
    <cfRule type="cellIs" dxfId="13" priority="2" operator="equal">
      <formula>"Pass"</formula>
    </cfRule>
    <cfRule type="cellIs" dxfId="12" priority="3" operator="equal">
      <formula>"Fail"</formula>
    </cfRule>
    <cfRule type="cellIs" dxfId="11" priority="4" operator="equal">
      <formula>"Not run"</formula>
    </cfRule>
  </conditionalFormatting>
  <dataValidations count="2">
    <dataValidation type="list" allowBlank="1" showErrorMessage="1" error="Choose a value from the list." sqref="E5:E64" xr:uid="{00000000-0002-0000-0600-000000000000}">
      <formula1>"EP,BVA,State,Functional,UI,Integration,Automated"</formula1>
      <formula2>0</formula2>
    </dataValidation>
    <dataValidation type="list" allowBlank="1" showErrorMessage="1" error="Choose a value from the list." sqref="J5:J64" xr:uid="{00000000-0002-0000-0600-000001000000}">
      <formula1>"Pass,Fail,Not run"</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36"/>
  <sheetViews>
    <sheetView showGridLines="0" zoomScaleNormal="100" workbookViewId="0"/>
  </sheetViews>
  <sheetFormatPr defaultColWidth="8.7109375" defaultRowHeight="15" x14ac:dyDescent="0.25"/>
  <cols>
    <col min="1" max="1" width="8" customWidth="1"/>
    <col min="2" max="3" width="18" customWidth="1"/>
    <col min="4" max="4" width="22" customWidth="1"/>
    <col min="5" max="5" width="24" customWidth="1"/>
    <col min="6" max="7" width="34" customWidth="1"/>
    <col min="8" max="9" width="12" customWidth="1"/>
  </cols>
  <sheetData>
    <row r="1" spans="1:9" ht="19.5" x14ac:dyDescent="0.3">
      <c r="A1" s="7" t="s">
        <v>327</v>
      </c>
    </row>
    <row r="2" spans="1:9" x14ac:dyDescent="0.25">
      <c r="A2" s="8" t="s">
        <v>328</v>
      </c>
    </row>
    <row r="3" spans="1:9" ht="15.75" x14ac:dyDescent="0.25">
      <c r="A3" s="9" t="s">
        <v>329</v>
      </c>
    </row>
    <row r="4" spans="1:9" x14ac:dyDescent="0.25">
      <c r="A4" s="13" t="s">
        <v>82</v>
      </c>
      <c r="B4" s="13" t="s">
        <v>330</v>
      </c>
      <c r="C4" s="13" t="s">
        <v>331</v>
      </c>
      <c r="D4" s="13" t="s">
        <v>332</v>
      </c>
      <c r="E4" s="13" t="s">
        <v>333</v>
      </c>
      <c r="F4" s="18" t="s">
        <v>334</v>
      </c>
      <c r="G4" s="18" t="s">
        <v>335</v>
      </c>
    </row>
    <row r="5" spans="1:9" x14ac:dyDescent="0.25">
      <c r="A5" s="17">
        <v>1</v>
      </c>
      <c r="B5" s="11" t="s">
        <v>336</v>
      </c>
      <c r="C5" s="11" t="s">
        <v>337</v>
      </c>
      <c r="D5" s="11" t="s">
        <v>338</v>
      </c>
      <c r="E5" s="11" t="s">
        <v>339</v>
      </c>
      <c r="F5" s="10"/>
      <c r="G5" s="24"/>
    </row>
    <row r="6" spans="1:9" ht="25.5" x14ac:dyDescent="0.25">
      <c r="A6" s="17">
        <v>2</v>
      </c>
      <c r="B6" s="11" t="s">
        <v>336</v>
      </c>
      <c r="C6" s="11" t="s">
        <v>340</v>
      </c>
      <c r="D6" s="11" t="s">
        <v>341</v>
      </c>
      <c r="E6" s="11" t="s">
        <v>342</v>
      </c>
      <c r="F6" s="10"/>
      <c r="G6" s="24"/>
    </row>
    <row r="7" spans="1:9" x14ac:dyDescent="0.25">
      <c r="A7" s="17">
        <v>3</v>
      </c>
      <c r="B7" s="11" t="s">
        <v>337</v>
      </c>
      <c r="C7" s="11" t="s">
        <v>343</v>
      </c>
      <c r="D7" s="11" t="s">
        <v>338</v>
      </c>
      <c r="E7" s="11" t="s">
        <v>344</v>
      </c>
      <c r="F7" s="10"/>
      <c r="G7" s="24"/>
    </row>
    <row r="8" spans="1:9" x14ac:dyDescent="0.25">
      <c r="A8" s="17">
        <v>4</v>
      </c>
      <c r="B8" s="11" t="s">
        <v>337</v>
      </c>
      <c r="C8" s="11" t="s">
        <v>340</v>
      </c>
      <c r="D8" s="11" t="s">
        <v>345</v>
      </c>
      <c r="E8" s="11" t="s">
        <v>344</v>
      </c>
      <c r="F8" s="10"/>
      <c r="G8" s="24"/>
    </row>
    <row r="9" spans="1:9" x14ac:dyDescent="0.25">
      <c r="A9" s="17">
        <v>5</v>
      </c>
      <c r="B9" s="11" t="s">
        <v>343</v>
      </c>
      <c r="C9" s="11" t="s">
        <v>346</v>
      </c>
      <c r="D9" s="11" t="s">
        <v>338</v>
      </c>
      <c r="E9" s="11" t="s">
        <v>344</v>
      </c>
      <c r="F9" s="10"/>
      <c r="G9" s="24"/>
    </row>
    <row r="10" spans="1:9" x14ac:dyDescent="0.25">
      <c r="A10" s="17">
        <v>6</v>
      </c>
      <c r="B10" s="11" t="s">
        <v>346</v>
      </c>
      <c r="C10" s="11" t="s">
        <v>347</v>
      </c>
      <c r="D10" s="11" t="s">
        <v>348</v>
      </c>
      <c r="E10" s="11" t="s">
        <v>349</v>
      </c>
      <c r="F10" s="10"/>
      <c r="G10" s="24"/>
    </row>
    <row r="11" spans="1:9" ht="25.5" x14ac:dyDescent="0.25">
      <c r="A11" s="17">
        <v>7</v>
      </c>
      <c r="B11" s="11" t="s">
        <v>347</v>
      </c>
      <c r="C11" s="11" t="s">
        <v>350</v>
      </c>
      <c r="D11" s="11" t="s">
        <v>348</v>
      </c>
      <c r="E11" s="11" t="s">
        <v>351</v>
      </c>
      <c r="F11" s="10"/>
      <c r="G11" s="24"/>
    </row>
    <row r="12" spans="1:9" x14ac:dyDescent="0.25">
      <c r="A12" s="17">
        <v>8</v>
      </c>
      <c r="B12" s="11" t="s">
        <v>347</v>
      </c>
      <c r="C12" s="11" t="s">
        <v>352</v>
      </c>
      <c r="D12" s="11" t="s">
        <v>348</v>
      </c>
      <c r="E12" s="11" t="s">
        <v>353</v>
      </c>
      <c r="F12" s="10"/>
      <c r="G12" s="24"/>
    </row>
    <row r="13" spans="1:9" x14ac:dyDescent="0.25">
      <c r="E13" s="15" t="s">
        <v>354</v>
      </c>
      <c r="F13" s="17" t="str">
        <f>COUNTIF(G5:G12,"Yes")&amp;" of 8"</f>
        <v>0 of 8</v>
      </c>
    </row>
    <row r="15" spans="1:9" ht="15.75" x14ac:dyDescent="0.25">
      <c r="A15" s="9" t="s">
        <v>355</v>
      </c>
    </row>
    <row r="16" spans="1:9" ht="33.75" customHeight="1" x14ac:dyDescent="0.25">
      <c r="A16" s="13" t="s">
        <v>251</v>
      </c>
      <c r="B16" s="18" t="s">
        <v>356</v>
      </c>
      <c r="C16" s="18" t="s">
        <v>357</v>
      </c>
      <c r="D16" s="18" t="s">
        <v>358</v>
      </c>
      <c r="E16" s="18" t="s">
        <v>359</v>
      </c>
      <c r="F16" s="18" t="s">
        <v>257</v>
      </c>
      <c r="G16" s="18" t="s">
        <v>258</v>
      </c>
      <c r="H16" s="18" t="s">
        <v>259</v>
      </c>
      <c r="I16" s="19" t="s">
        <v>88</v>
      </c>
    </row>
    <row r="17" spans="1:9" ht="27.75" customHeight="1" x14ac:dyDescent="0.25">
      <c r="A17" s="20" t="s">
        <v>360</v>
      </c>
      <c r="B17" s="10"/>
      <c r="C17" s="10"/>
      <c r="D17" s="10"/>
      <c r="E17" s="10"/>
      <c r="F17" s="10"/>
      <c r="G17" s="10"/>
      <c r="H17" s="10"/>
      <c r="I17" s="12"/>
    </row>
    <row r="18" spans="1:9" ht="27.75" customHeight="1" x14ac:dyDescent="0.25">
      <c r="A18" s="20" t="s">
        <v>361</v>
      </c>
      <c r="B18" s="10"/>
      <c r="C18" s="10"/>
      <c r="D18" s="10"/>
      <c r="E18" s="10"/>
      <c r="F18" s="10"/>
      <c r="G18" s="10"/>
      <c r="H18" s="10"/>
      <c r="I18" s="12"/>
    </row>
    <row r="19" spans="1:9" ht="27.75" customHeight="1" x14ac:dyDescent="0.25">
      <c r="A19" s="20" t="s">
        <v>362</v>
      </c>
      <c r="B19" s="10"/>
      <c r="C19" s="10"/>
      <c r="D19" s="10"/>
      <c r="E19" s="10"/>
      <c r="F19" s="10"/>
      <c r="G19" s="10"/>
      <c r="H19" s="10"/>
      <c r="I19" s="12"/>
    </row>
    <row r="20" spans="1:9" ht="27.75" customHeight="1" x14ac:dyDescent="0.25">
      <c r="A20" s="20" t="s">
        <v>363</v>
      </c>
      <c r="B20" s="10"/>
      <c r="C20" s="10"/>
      <c r="D20" s="10"/>
      <c r="E20" s="10"/>
      <c r="F20" s="10"/>
      <c r="G20" s="10"/>
      <c r="H20" s="10"/>
      <c r="I20" s="12"/>
    </row>
    <row r="21" spans="1:9" ht="27.75" customHeight="1" x14ac:dyDescent="0.25">
      <c r="A21" s="20" t="s">
        <v>364</v>
      </c>
      <c r="B21" s="10"/>
      <c r="C21" s="10"/>
      <c r="D21" s="10"/>
      <c r="E21" s="10"/>
      <c r="F21" s="10"/>
      <c r="G21" s="10"/>
      <c r="H21" s="10"/>
      <c r="I21" s="12"/>
    </row>
    <row r="22" spans="1:9" ht="27.75" customHeight="1" x14ac:dyDescent="0.25">
      <c r="A22" s="20" t="s">
        <v>365</v>
      </c>
      <c r="B22" s="10"/>
      <c r="C22" s="10"/>
      <c r="D22" s="10"/>
      <c r="E22" s="10"/>
      <c r="F22" s="10"/>
      <c r="G22" s="10"/>
      <c r="H22" s="10"/>
      <c r="I22" s="12"/>
    </row>
    <row r="23" spans="1:9" ht="27.75" customHeight="1" x14ac:dyDescent="0.25">
      <c r="A23" s="20" t="s">
        <v>366</v>
      </c>
      <c r="B23" s="10"/>
      <c r="C23" s="10"/>
      <c r="D23" s="10"/>
      <c r="E23" s="10"/>
      <c r="F23" s="10"/>
      <c r="G23" s="10"/>
      <c r="H23" s="10"/>
      <c r="I23" s="12"/>
    </row>
    <row r="24" spans="1:9" ht="27.75" customHeight="1" x14ac:dyDescent="0.25">
      <c r="A24" s="20" t="s">
        <v>367</v>
      </c>
      <c r="B24" s="10"/>
      <c r="C24" s="10"/>
      <c r="D24" s="10"/>
      <c r="E24" s="10"/>
      <c r="F24" s="10"/>
      <c r="G24" s="10"/>
      <c r="H24" s="10"/>
      <c r="I24" s="12"/>
    </row>
    <row r="25" spans="1:9" ht="27.75" customHeight="1" x14ac:dyDescent="0.25">
      <c r="A25" s="20" t="s">
        <v>368</v>
      </c>
      <c r="B25" s="10"/>
      <c r="C25" s="10"/>
      <c r="D25" s="10"/>
      <c r="E25" s="10"/>
      <c r="F25" s="10"/>
      <c r="G25" s="10"/>
      <c r="H25" s="10"/>
      <c r="I25" s="12"/>
    </row>
    <row r="26" spans="1:9" ht="27.75" customHeight="1" x14ac:dyDescent="0.25">
      <c r="A26" s="20" t="s">
        <v>369</v>
      </c>
      <c r="B26" s="10"/>
      <c r="C26" s="10"/>
      <c r="D26" s="10"/>
      <c r="E26" s="10"/>
      <c r="F26" s="10"/>
      <c r="G26" s="10"/>
      <c r="H26" s="10"/>
      <c r="I26" s="12"/>
    </row>
    <row r="27" spans="1:9" ht="27.75" customHeight="1" x14ac:dyDescent="0.25">
      <c r="A27" s="20" t="s">
        <v>370</v>
      </c>
      <c r="B27" s="10"/>
      <c r="C27" s="10"/>
      <c r="D27" s="10"/>
      <c r="E27" s="10"/>
      <c r="F27" s="10"/>
      <c r="G27" s="10"/>
      <c r="H27" s="10"/>
      <c r="I27" s="12"/>
    </row>
    <row r="28" spans="1:9" ht="27.75" customHeight="1" x14ac:dyDescent="0.25">
      <c r="A28" s="20" t="s">
        <v>371</v>
      </c>
      <c r="B28" s="10"/>
      <c r="C28" s="10"/>
      <c r="D28" s="10"/>
      <c r="E28" s="10"/>
      <c r="F28" s="10"/>
      <c r="G28" s="10"/>
      <c r="H28" s="10"/>
      <c r="I28" s="12"/>
    </row>
    <row r="29" spans="1:9" ht="27.75" customHeight="1" x14ac:dyDescent="0.25">
      <c r="A29" s="20" t="s">
        <v>372</v>
      </c>
      <c r="B29" s="10"/>
      <c r="C29" s="10"/>
      <c r="D29" s="10"/>
      <c r="E29" s="10"/>
      <c r="F29" s="10"/>
      <c r="G29" s="10"/>
      <c r="H29" s="10"/>
      <c r="I29" s="12"/>
    </row>
    <row r="30" spans="1:9" ht="27.75" customHeight="1" x14ac:dyDescent="0.25">
      <c r="A30" s="20" t="s">
        <v>373</v>
      </c>
      <c r="B30" s="10"/>
      <c r="C30" s="10"/>
      <c r="D30" s="10"/>
      <c r="E30" s="10"/>
      <c r="F30" s="10"/>
      <c r="G30" s="10"/>
      <c r="H30" s="10"/>
      <c r="I30" s="12"/>
    </row>
    <row r="31" spans="1:9" ht="27.75" customHeight="1" x14ac:dyDescent="0.25">
      <c r="A31" s="20" t="s">
        <v>374</v>
      </c>
      <c r="B31" s="10"/>
      <c r="C31" s="10"/>
      <c r="D31" s="10"/>
      <c r="E31" s="10"/>
      <c r="F31" s="10"/>
      <c r="G31" s="10"/>
      <c r="H31" s="10"/>
      <c r="I31" s="12"/>
    </row>
    <row r="33" spans="1:6" x14ac:dyDescent="0.25">
      <c r="E33" s="15" t="s">
        <v>375</v>
      </c>
      <c r="F33" s="17">
        <f>COUNTA(B17:B31)</f>
        <v>0</v>
      </c>
    </row>
    <row r="34" spans="1:6" x14ac:dyDescent="0.25">
      <c r="E34" s="15" t="s">
        <v>376</v>
      </c>
      <c r="F34" s="17" t="str">
        <f>IF(F33&gt;=5,"OK","Need at least 5")</f>
        <v>Need at least 5</v>
      </c>
    </row>
    <row r="36" spans="1:6" x14ac:dyDescent="0.25">
      <c r="A36" s="21" t="s">
        <v>377</v>
      </c>
    </row>
  </sheetData>
  <conditionalFormatting sqref="F34">
    <cfRule type="expression" dxfId="10" priority="5">
      <formula>F34&lt;&gt;"OK"</formula>
    </cfRule>
  </conditionalFormatting>
  <conditionalFormatting sqref="H17:H31">
    <cfRule type="cellIs" dxfId="9" priority="2" operator="equal">
      <formula>"Pass"</formula>
    </cfRule>
    <cfRule type="cellIs" dxfId="8" priority="3" operator="equal">
      <formula>"Fail"</formula>
    </cfRule>
    <cfRule type="cellIs" dxfId="7" priority="4" operator="equal">
      <formula>"Not run"</formula>
    </cfRule>
  </conditionalFormatting>
  <dataValidations count="3">
    <dataValidation type="list" allowBlank="1" sqref="G5:G12" xr:uid="{00000000-0002-0000-0700-000000000000}">
      <formula1>"Yes,No"</formula1>
      <formula2>0</formula2>
    </dataValidation>
    <dataValidation type="list" allowBlank="1" showErrorMessage="1" error="Choose a value from the list." sqref="C17:D31" xr:uid="{00000000-0002-0000-0700-000001000000}">
      <formula1>"Placed,Confirmed,Preparing,Ready,Out for Delivery,Delivered,Cancelled,Failed"</formula1>
      <formula2>0</formula2>
    </dataValidation>
    <dataValidation type="list" allowBlank="1" showErrorMessage="1" error="Choose a value from the list." sqref="H17:H31" xr:uid="{00000000-0002-0000-0700-000003000000}">
      <formula1>"Pass,Fail,Not run"</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52"/>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48" customWidth="1"/>
    <col min="3" max="3" width="12" customWidth="1"/>
    <col min="4" max="5" width="30" customWidth="1"/>
    <col min="6" max="6" width="24" customWidth="1"/>
    <col min="7" max="8" width="14" customWidth="1"/>
    <col min="9" max="9" width="28" customWidth="1"/>
  </cols>
  <sheetData>
    <row r="1" spans="1:9" ht="19.5" x14ac:dyDescent="0.3">
      <c r="A1" s="7" t="s">
        <v>378</v>
      </c>
    </row>
    <row r="2" spans="1:9" x14ac:dyDescent="0.25">
      <c r="A2" s="8" t="s">
        <v>379</v>
      </c>
    </row>
    <row r="4" spans="1:9" ht="36" customHeight="1" x14ac:dyDescent="0.25">
      <c r="A4" s="13" t="s">
        <v>116</v>
      </c>
      <c r="B4" s="13" t="s">
        <v>143</v>
      </c>
      <c r="C4" s="13" t="s">
        <v>83</v>
      </c>
      <c r="D4" s="18" t="s">
        <v>380</v>
      </c>
      <c r="E4" s="18" t="s">
        <v>381</v>
      </c>
      <c r="F4" s="18" t="s">
        <v>382</v>
      </c>
      <c r="G4" s="18" t="s">
        <v>383</v>
      </c>
      <c r="H4" s="13" t="s">
        <v>384</v>
      </c>
      <c r="I4" s="19" t="s">
        <v>88</v>
      </c>
    </row>
    <row r="5" spans="1:9" ht="27.75" customHeight="1" x14ac:dyDescent="0.25">
      <c r="A5" s="20" t="str">
        <f>IF(Requirements!A5="","",Requirements!A5)</f>
        <v/>
      </c>
      <c r="B5" s="11" t="str">
        <f>IF(Requirements!B5="","",Requirements!B5)</f>
        <v/>
      </c>
      <c r="C5" s="17" t="str">
        <f>IF(Requirements!E5="","",Requirements!E5)</f>
        <v/>
      </c>
      <c r="D5" s="10"/>
      <c r="E5" s="10"/>
      <c r="F5" s="10"/>
      <c r="G5" s="24"/>
      <c r="H5" s="17" t="str">
        <f t="shared" ref="H5:H49" si="0">IF(A5="","",IF(F5="","No test","OK"))</f>
        <v/>
      </c>
      <c r="I5" s="12"/>
    </row>
    <row r="6" spans="1:9" ht="27.75" customHeight="1" x14ac:dyDescent="0.25">
      <c r="A6" s="20" t="str">
        <f>IF(Requirements!A6="","",Requirements!A6)</f>
        <v/>
      </c>
      <c r="B6" s="11" t="str">
        <f>IF(Requirements!B6="","",Requirements!B6)</f>
        <v/>
      </c>
      <c r="C6" s="17" t="str">
        <f>IF(Requirements!E6="","",Requirements!E6)</f>
        <v/>
      </c>
      <c r="D6" s="10"/>
      <c r="E6" s="10"/>
      <c r="F6" s="10"/>
      <c r="G6" s="24"/>
      <c r="H6" s="17" t="str">
        <f t="shared" si="0"/>
        <v/>
      </c>
      <c r="I6" s="12"/>
    </row>
    <row r="7" spans="1:9" ht="27.75" customHeight="1" x14ac:dyDescent="0.25">
      <c r="A7" s="20" t="str">
        <f>IF(Requirements!A7="","",Requirements!A7)</f>
        <v/>
      </c>
      <c r="B7" s="11" t="str">
        <f>IF(Requirements!B7="","",Requirements!B7)</f>
        <v/>
      </c>
      <c r="C7" s="17" t="str">
        <f>IF(Requirements!E7="","",Requirements!E7)</f>
        <v/>
      </c>
      <c r="D7" s="10"/>
      <c r="E7" s="10"/>
      <c r="F7" s="10"/>
      <c r="G7" s="24"/>
      <c r="H7" s="17" t="str">
        <f t="shared" si="0"/>
        <v/>
      </c>
      <c r="I7" s="12"/>
    </row>
    <row r="8" spans="1:9" ht="27.75" customHeight="1" x14ac:dyDescent="0.25">
      <c r="A8" s="20" t="str">
        <f>IF(Requirements!A8="","",Requirements!A8)</f>
        <v/>
      </c>
      <c r="B8" s="11" t="str">
        <f>IF(Requirements!B8="","",Requirements!B8)</f>
        <v/>
      </c>
      <c r="C8" s="17" t="str">
        <f>IF(Requirements!E8="","",Requirements!E8)</f>
        <v/>
      </c>
      <c r="D8" s="10"/>
      <c r="E8" s="10"/>
      <c r="F8" s="10"/>
      <c r="G8" s="24"/>
      <c r="H8" s="17" t="str">
        <f t="shared" si="0"/>
        <v/>
      </c>
      <c r="I8" s="12"/>
    </row>
    <row r="9" spans="1:9" ht="27.75" customHeight="1" x14ac:dyDescent="0.25">
      <c r="A9" s="20" t="str">
        <f>IF(Requirements!A9="","",Requirements!A9)</f>
        <v/>
      </c>
      <c r="B9" s="11" t="str">
        <f>IF(Requirements!B9="","",Requirements!B9)</f>
        <v/>
      </c>
      <c r="C9" s="17" t="str">
        <f>IF(Requirements!E9="","",Requirements!E9)</f>
        <v/>
      </c>
      <c r="D9" s="10"/>
      <c r="E9" s="10"/>
      <c r="F9" s="10"/>
      <c r="G9" s="24"/>
      <c r="H9" s="17" t="str">
        <f t="shared" si="0"/>
        <v/>
      </c>
      <c r="I9" s="12"/>
    </row>
    <row r="10" spans="1:9" ht="27.75" customHeight="1" x14ac:dyDescent="0.25">
      <c r="A10" s="20" t="str">
        <f>IF(Requirements!A10="","",Requirements!A10)</f>
        <v/>
      </c>
      <c r="B10" s="11" t="str">
        <f>IF(Requirements!B10="","",Requirements!B10)</f>
        <v/>
      </c>
      <c r="C10" s="17" t="str">
        <f>IF(Requirements!E10="","",Requirements!E10)</f>
        <v/>
      </c>
      <c r="D10" s="10"/>
      <c r="E10" s="10"/>
      <c r="F10" s="10"/>
      <c r="G10" s="24"/>
      <c r="H10" s="17" t="str">
        <f t="shared" si="0"/>
        <v/>
      </c>
      <c r="I10" s="12"/>
    </row>
    <row r="11" spans="1:9" ht="27.75" customHeight="1" x14ac:dyDescent="0.25">
      <c r="A11" s="20" t="str">
        <f>IF(Requirements!A11="","",Requirements!A11)</f>
        <v/>
      </c>
      <c r="B11" s="11" t="str">
        <f>IF(Requirements!B11="","",Requirements!B11)</f>
        <v/>
      </c>
      <c r="C11" s="17" t="str">
        <f>IF(Requirements!E11="","",Requirements!E11)</f>
        <v/>
      </c>
      <c r="D11" s="10"/>
      <c r="E11" s="10"/>
      <c r="F11" s="10"/>
      <c r="G11" s="24"/>
      <c r="H11" s="17" t="str">
        <f t="shared" si="0"/>
        <v/>
      </c>
      <c r="I11" s="12"/>
    </row>
    <row r="12" spans="1:9" ht="27.75" customHeight="1" x14ac:dyDescent="0.25">
      <c r="A12" s="20" t="str">
        <f>IF(Requirements!A12="","",Requirements!A12)</f>
        <v/>
      </c>
      <c r="B12" s="11" t="str">
        <f>IF(Requirements!B12="","",Requirements!B12)</f>
        <v/>
      </c>
      <c r="C12" s="17" t="str">
        <f>IF(Requirements!E12="","",Requirements!E12)</f>
        <v/>
      </c>
      <c r="D12" s="10"/>
      <c r="E12" s="10"/>
      <c r="F12" s="10"/>
      <c r="G12" s="24"/>
      <c r="H12" s="17" t="str">
        <f t="shared" si="0"/>
        <v/>
      </c>
      <c r="I12" s="12"/>
    </row>
    <row r="13" spans="1:9" ht="27.75" customHeight="1" x14ac:dyDescent="0.25">
      <c r="A13" s="20" t="str">
        <f>IF(Requirements!A13="","",Requirements!A13)</f>
        <v/>
      </c>
      <c r="B13" s="11" t="str">
        <f>IF(Requirements!B13="","",Requirements!B13)</f>
        <v/>
      </c>
      <c r="C13" s="17" t="str">
        <f>IF(Requirements!E13="","",Requirements!E13)</f>
        <v/>
      </c>
      <c r="D13" s="10"/>
      <c r="E13" s="10"/>
      <c r="F13" s="10"/>
      <c r="G13" s="24"/>
      <c r="H13" s="17" t="str">
        <f t="shared" si="0"/>
        <v/>
      </c>
      <c r="I13" s="12"/>
    </row>
    <row r="14" spans="1:9" ht="27.75" customHeight="1" x14ac:dyDescent="0.25">
      <c r="A14" s="20" t="str">
        <f>IF(Requirements!A14="","",Requirements!A14)</f>
        <v/>
      </c>
      <c r="B14" s="11" t="str">
        <f>IF(Requirements!B14="","",Requirements!B14)</f>
        <v/>
      </c>
      <c r="C14" s="17" t="str">
        <f>IF(Requirements!E14="","",Requirements!E14)</f>
        <v/>
      </c>
      <c r="D14" s="10"/>
      <c r="E14" s="10"/>
      <c r="F14" s="10"/>
      <c r="G14" s="24"/>
      <c r="H14" s="17" t="str">
        <f t="shared" si="0"/>
        <v/>
      </c>
      <c r="I14" s="12"/>
    </row>
    <row r="15" spans="1:9" ht="27.75" customHeight="1" x14ac:dyDescent="0.25">
      <c r="A15" s="20" t="str">
        <f>IF(Requirements!A15="","",Requirements!A15)</f>
        <v/>
      </c>
      <c r="B15" s="11" t="str">
        <f>IF(Requirements!B15="","",Requirements!B15)</f>
        <v/>
      </c>
      <c r="C15" s="17" t="str">
        <f>IF(Requirements!E15="","",Requirements!E15)</f>
        <v/>
      </c>
      <c r="D15" s="10"/>
      <c r="E15" s="10"/>
      <c r="F15" s="10"/>
      <c r="G15" s="24"/>
      <c r="H15" s="17" t="str">
        <f t="shared" si="0"/>
        <v/>
      </c>
      <c r="I15" s="12"/>
    </row>
    <row r="16" spans="1:9" ht="27.75" customHeight="1" x14ac:dyDescent="0.25">
      <c r="A16" s="20" t="str">
        <f>IF(Requirements!A16="","",Requirements!A16)</f>
        <v/>
      </c>
      <c r="B16" s="11" t="str">
        <f>IF(Requirements!B16="","",Requirements!B16)</f>
        <v/>
      </c>
      <c r="C16" s="17" t="str">
        <f>IF(Requirements!E16="","",Requirements!E16)</f>
        <v/>
      </c>
      <c r="D16" s="10"/>
      <c r="E16" s="10"/>
      <c r="F16" s="10"/>
      <c r="G16" s="24"/>
      <c r="H16" s="17" t="str">
        <f t="shared" si="0"/>
        <v/>
      </c>
      <c r="I16" s="12"/>
    </row>
    <row r="17" spans="1:9" ht="27.75" customHeight="1" x14ac:dyDescent="0.25">
      <c r="A17" s="20" t="str">
        <f>IF(Requirements!A17="","",Requirements!A17)</f>
        <v/>
      </c>
      <c r="B17" s="11" t="str">
        <f>IF(Requirements!B17="","",Requirements!B17)</f>
        <v/>
      </c>
      <c r="C17" s="17" t="str">
        <f>IF(Requirements!E17="","",Requirements!E17)</f>
        <v/>
      </c>
      <c r="D17" s="10"/>
      <c r="E17" s="10"/>
      <c r="F17" s="10"/>
      <c r="G17" s="24"/>
      <c r="H17" s="17" t="str">
        <f t="shared" si="0"/>
        <v/>
      </c>
      <c r="I17" s="12"/>
    </row>
    <row r="18" spans="1:9" ht="27.75" customHeight="1" x14ac:dyDescent="0.25">
      <c r="A18" s="20" t="str">
        <f>IF(Requirements!A18="","",Requirements!A18)</f>
        <v/>
      </c>
      <c r="B18" s="11" t="str">
        <f>IF(Requirements!B18="","",Requirements!B18)</f>
        <v/>
      </c>
      <c r="C18" s="17" t="str">
        <f>IF(Requirements!E18="","",Requirements!E18)</f>
        <v/>
      </c>
      <c r="D18" s="10"/>
      <c r="E18" s="10"/>
      <c r="F18" s="10"/>
      <c r="G18" s="24"/>
      <c r="H18" s="17" t="str">
        <f t="shared" si="0"/>
        <v/>
      </c>
      <c r="I18" s="12"/>
    </row>
    <row r="19" spans="1:9" ht="27.75" customHeight="1" x14ac:dyDescent="0.25">
      <c r="A19" s="20" t="str">
        <f>IF(Requirements!A19="","",Requirements!A19)</f>
        <v/>
      </c>
      <c r="B19" s="11" t="str">
        <f>IF(Requirements!B19="","",Requirements!B19)</f>
        <v/>
      </c>
      <c r="C19" s="17" t="str">
        <f>IF(Requirements!E19="","",Requirements!E19)</f>
        <v/>
      </c>
      <c r="D19" s="10"/>
      <c r="E19" s="10"/>
      <c r="F19" s="10"/>
      <c r="G19" s="24"/>
      <c r="H19" s="17" t="str">
        <f t="shared" si="0"/>
        <v/>
      </c>
      <c r="I19" s="12"/>
    </row>
    <row r="20" spans="1:9" ht="27.75" customHeight="1" x14ac:dyDescent="0.25">
      <c r="A20" s="20" t="str">
        <f>IF(Requirements!A20="","",Requirements!A20)</f>
        <v/>
      </c>
      <c r="B20" s="11" t="str">
        <f>IF(Requirements!B20="","",Requirements!B20)</f>
        <v/>
      </c>
      <c r="C20" s="17" t="str">
        <f>IF(Requirements!E20="","",Requirements!E20)</f>
        <v/>
      </c>
      <c r="D20" s="10"/>
      <c r="E20" s="10"/>
      <c r="F20" s="10"/>
      <c r="G20" s="24"/>
      <c r="H20" s="17" t="str">
        <f t="shared" si="0"/>
        <v/>
      </c>
      <c r="I20" s="12"/>
    </row>
    <row r="21" spans="1:9" ht="27.75" customHeight="1" x14ac:dyDescent="0.25">
      <c r="A21" s="20" t="str">
        <f>IF(Requirements!A21="","",Requirements!A21)</f>
        <v/>
      </c>
      <c r="B21" s="11" t="str">
        <f>IF(Requirements!B21="","",Requirements!B21)</f>
        <v/>
      </c>
      <c r="C21" s="17" t="str">
        <f>IF(Requirements!E21="","",Requirements!E21)</f>
        <v/>
      </c>
      <c r="D21" s="10"/>
      <c r="E21" s="10"/>
      <c r="F21" s="10"/>
      <c r="G21" s="24"/>
      <c r="H21" s="17" t="str">
        <f t="shared" si="0"/>
        <v/>
      </c>
      <c r="I21" s="12"/>
    </row>
    <row r="22" spans="1:9" ht="27.75" customHeight="1" x14ac:dyDescent="0.25">
      <c r="A22" s="20" t="str">
        <f>IF(Requirements!A22="","",Requirements!A22)</f>
        <v/>
      </c>
      <c r="B22" s="11" t="str">
        <f>IF(Requirements!B22="","",Requirements!B22)</f>
        <v/>
      </c>
      <c r="C22" s="17" t="str">
        <f>IF(Requirements!E22="","",Requirements!E22)</f>
        <v/>
      </c>
      <c r="D22" s="10"/>
      <c r="E22" s="10"/>
      <c r="F22" s="10"/>
      <c r="G22" s="24"/>
      <c r="H22" s="17" t="str">
        <f t="shared" si="0"/>
        <v/>
      </c>
      <c r="I22" s="12"/>
    </row>
    <row r="23" spans="1:9" ht="27.75" customHeight="1" x14ac:dyDescent="0.25">
      <c r="A23" s="20" t="str">
        <f>IF(Requirements!A23="","",Requirements!A23)</f>
        <v/>
      </c>
      <c r="B23" s="11" t="str">
        <f>IF(Requirements!B23="","",Requirements!B23)</f>
        <v/>
      </c>
      <c r="C23" s="17" t="str">
        <f>IF(Requirements!E23="","",Requirements!E23)</f>
        <v/>
      </c>
      <c r="D23" s="10"/>
      <c r="E23" s="10"/>
      <c r="F23" s="10"/>
      <c r="G23" s="24"/>
      <c r="H23" s="17" t="str">
        <f t="shared" si="0"/>
        <v/>
      </c>
      <c r="I23" s="12"/>
    </row>
    <row r="24" spans="1:9" ht="27.75" customHeight="1" x14ac:dyDescent="0.25">
      <c r="A24" s="20" t="str">
        <f>IF(Requirements!A24="","",Requirements!A24)</f>
        <v/>
      </c>
      <c r="B24" s="11" t="str">
        <f>IF(Requirements!B24="","",Requirements!B24)</f>
        <v/>
      </c>
      <c r="C24" s="17" t="str">
        <f>IF(Requirements!E24="","",Requirements!E24)</f>
        <v/>
      </c>
      <c r="D24" s="10"/>
      <c r="E24" s="10"/>
      <c r="F24" s="10"/>
      <c r="G24" s="24"/>
      <c r="H24" s="17" t="str">
        <f t="shared" si="0"/>
        <v/>
      </c>
      <c r="I24" s="12"/>
    </row>
    <row r="25" spans="1:9" ht="27.75" customHeight="1" x14ac:dyDescent="0.25">
      <c r="A25" s="20" t="str">
        <f>IF(Requirements!A25="","",Requirements!A25)</f>
        <v/>
      </c>
      <c r="B25" s="11" t="str">
        <f>IF(Requirements!B25="","",Requirements!B25)</f>
        <v/>
      </c>
      <c r="C25" s="17" t="str">
        <f>IF(Requirements!E25="","",Requirements!E25)</f>
        <v/>
      </c>
      <c r="D25" s="10"/>
      <c r="E25" s="10"/>
      <c r="F25" s="10"/>
      <c r="G25" s="24"/>
      <c r="H25" s="17" t="str">
        <f t="shared" si="0"/>
        <v/>
      </c>
      <c r="I25" s="12"/>
    </row>
    <row r="26" spans="1:9" ht="27.75" customHeight="1" x14ac:dyDescent="0.25">
      <c r="A26" s="20" t="str">
        <f>IF(Requirements!A26="","",Requirements!A26)</f>
        <v/>
      </c>
      <c r="B26" s="11" t="str">
        <f>IF(Requirements!B26="","",Requirements!B26)</f>
        <v/>
      </c>
      <c r="C26" s="17" t="str">
        <f>IF(Requirements!E26="","",Requirements!E26)</f>
        <v/>
      </c>
      <c r="D26" s="10"/>
      <c r="E26" s="10"/>
      <c r="F26" s="10"/>
      <c r="G26" s="24"/>
      <c r="H26" s="17" t="str">
        <f t="shared" si="0"/>
        <v/>
      </c>
      <c r="I26" s="12"/>
    </row>
    <row r="27" spans="1:9" ht="27.75" customHeight="1" x14ac:dyDescent="0.25">
      <c r="A27" s="20" t="str">
        <f>IF(Requirements!A27="","",Requirements!A27)</f>
        <v/>
      </c>
      <c r="B27" s="11" t="str">
        <f>IF(Requirements!B27="","",Requirements!B27)</f>
        <v/>
      </c>
      <c r="C27" s="17" t="str">
        <f>IF(Requirements!E27="","",Requirements!E27)</f>
        <v/>
      </c>
      <c r="D27" s="10"/>
      <c r="E27" s="10"/>
      <c r="F27" s="10"/>
      <c r="G27" s="24"/>
      <c r="H27" s="17" t="str">
        <f t="shared" si="0"/>
        <v/>
      </c>
      <c r="I27" s="12"/>
    </row>
    <row r="28" spans="1:9" ht="27.75" customHeight="1" x14ac:dyDescent="0.25">
      <c r="A28" s="20" t="str">
        <f>IF(Requirements!A28="","",Requirements!A28)</f>
        <v/>
      </c>
      <c r="B28" s="11" t="str">
        <f>IF(Requirements!B28="","",Requirements!B28)</f>
        <v/>
      </c>
      <c r="C28" s="17" t="str">
        <f>IF(Requirements!E28="","",Requirements!E28)</f>
        <v/>
      </c>
      <c r="D28" s="10"/>
      <c r="E28" s="10"/>
      <c r="F28" s="10"/>
      <c r="G28" s="24"/>
      <c r="H28" s="17" t="str">
        <f t="shared" si="0"/>
        <v/>
      </c>
      <c r="I28" s="12"/>
    </row>
    <row r="29" spans="1:9" ht="27.75" customHeight="1" x14ac:dyDescent="0.25">
      <c r="A29" s="20" t="str">
        <f>IF(Requirements!A29="","",Requirements!A29)</f>
        <v/>
      </c>
      <c r="B29" s="11" t="str">
        <f>IF(Requirements!B29="","",Requirements!B29)</f>
        <v/>
      </c>
      <c r="C29" s="17" t="str">
        <f>IF(Requirements!E29="","",Requirements!E29)</f>
        <v/>
      </c>
      <c r="D29" s="10"/>
      <c r="E29" s="10"/>
      <c r="F29" s="10"/>
      <c r="G29" s="24"/>
      <c r="H29" s="17" t="str">
        <f t="shared" si="0"/>
        <v/>
      </c>
      <c r="I29" s="12"/>
    </row>
    <row r="30" spans="1:9" ht="27.75" customHeight="1" x14ac:dyDescent="0.25">
      <c r="A30" s="20" t="str">
        <f>IF(Requirements!A30="","",Requirements!A30)</f>
        <v/>
      </c>
      <c r="B30" s="11" t="str">
        <f>IF(Requirements!B30="","",Requirements!B30)</f>
        <v/>
      </c>
      <c r="C30" s="17" t="str">
        <f>IF(Requirements!E30="","",Requirements!E30)</f>
        <v/>
      </c>
      <c r="D30" s="10"/>
      <c r="E30" s="10"/>
      <c r="F30" s="10"/>
      <c r="G30" s="24"/>
      <c r="H30" s="17" t="str">
        <f t="shared" si="0"/>
        <v/>
      </c>
      <c r="I30" s="12"/>
    </row>
    <row r="31" spans="1:9" ht="27.75" customHeight="1" x14ac:dyDescent="0.25">
      <c r="A31" s="20" t="str">
        <f>IF(Requirements!A31="","",Requirements!A31)</f>
        <v/>
      </c>
      <c r="B31" s="11" t="str">
        <f>IF(Requirements!B31="","",Requirements!B31)</f>
        <v/>
      </c>
      <c r="C31" s="17" t="str">
        <f>IF(Requirements!E31="","",Requirements!E31)</f>
        <v/>
      </c>
      <c r="D31" s="10"/>
      <c r="E31" s="10"/>
      <c r="F31" s="10"/>
      <c r="G31" s="24"/>
      <c r="H31" s="17" t="str">
        <f t="shared" si="0"/>
        <v/>
      </c>
      <c r="I31" s="12"/>
    </row>
    <row r="32" spans="1:9" ht="27.75" customHeight="1" x14ac:dyDescent="0.25">
      <c r="A32" s="20" t="str">
        <f>IF(Requirements!A32="","",Requirements!A32)</f>
        <v/>
      </c>
      <c r="B32" s="11" t="str">
        <f>IF(Requirements!B32="","",Requirements!B32)</f>
        <v/>
      </c>
      <c r="C32" s="17" t="str">
        <f>IF(Requirements!E32="","",Requirements!E32)</f>
        <v/>
      </c>
      <c r="D32" s="10"/>
      <c r="E32" s="10"/>
      <c r="F32" s="10"/>
      <c r="G32" s="24"/>
      <c r="H32" s="17" t="str">
        <f t="shared" si="0"/>
        <v/>
      </c>
      <c r="I32" s="12"/>
    </row>
    <row r="33" spans="1:9" ht="27.75" customHeight="1" x14ac:dyDescent="0.25">
      <c r="A33" s="20" t="str">
        <f>IF(Requirements!A33="","",Requirements!A33)</f>
        <v/>
      </c>
      <c r="B33" s="11" t="str">
        <f>IF(Requirements!B33="","",Requirements!B33)</f>
        <v/>
      </c>
      <c r="C33" s="17" t="str">
        <f>IF(Requirements!E33="","",Requirements!E33)</f>
        <v/>
      </c>
      <c r="D33" s="10"/>
      <c r="E33" s="10"/>
      <c r="F33" s="10"/>
      <c r="G33" s="24"/>
      <c r="H33" s="17" t="str">
        <f t="shared" si="0"/>
        <v/>
      </c>
      <c r="I33" s="12"/>
    </row>
    <row r="34" spans="1:9" ht="27.75" customHeight="1" x14ac:dyDescent="0.25">
      <c r="A34" s="20" t="str">
        <f>IF(Requirements!A34="","",Requirements!A34)</f>
        <v/>
      </c>
      <c r="B34" s="11" t="str">
        <f>IF(Requirements!B34="","",Requirements!B34)</f>
        <v/>
      </c>
      <c r="C34" s="17" t="str">
        <f>IF(Requirements!E34="","",Requirements!E34)</f>
        <v/>
      </c>
      <c r="D34" s="10"/>
      <c r="E34" s="10"/>
      <c r="F34" s="10"/>
      <c r="G34" s="24"/>
      <c r="H34" s="17" t="str">
        <f t="shared" si="0"/>
        <v/>
      </c>
      <c r="I34" s="12"/>
    </row>
    <row r="35" spans="1:9" ht="27.75" customHeight="1" x14ac:dyDescent="0.25">
      <c r="A35" s="20" t="str">
        <f>IF(Requirements!A35="","",Requirements!A35)</f>
        <v/>
      </c>
      <c r="B35" s="11" t="str">
        <f>IF(Requirements!B35="","",Requirements!B35)</f>
        <v/>
      </c>
      <c r="C35" s="17" t="str">
        <f>IF(Requirements!E35="","",Requirements!E35)</f>
        <v/>
      </c>
      <c r="D35" s="10"/>
      <c r="E35" s="10"/>
      <c r="F35" s="10"/>
      <c r="G35" s="24"/>
      <c r="H35" s="17" t="str">
        <f t="shared" si="0"/>
        <v/>
      </c>
      <c r="I35" s="12"/>
    </row>
    <row r="36" spans="1:9" ht="27.75" customHeight="1" x14ac:dyDescent="0.25">
      <c r="A36" s="20" t="str">
        <f>IF(Requirements!A36="","",Requirements!A36)</f>
        <v/>
      </c>
      <c r="B36" s="11" t="str">
        <f>IF(Requirements!B36="","",Requirements!B36)</f>
        <v/>
      </c>
      <c r="C36" s="17" t="str">
        <f>IF(Requirements!E36="","",Requirements!E36)</f>
        <v/>
      </c>
      <c r="D36" s="10"/>
      <c r="E36" s="10"/>
      <c r="F36" s="10"/>
      <c r="G36" s="24"/>
      <c r="H36" s="17" t="str">
        <f t="shared" si="0"/>
        <v/>
      </c>
      <c r="I36" s="12"/>
    </row>
    <row r="37" spans="1:9" ht="27.75" customHeight="1" x14ac:dyDescent="0.25">
      <c r="A37" s="20" t="str">
        <f>IF(Requirements!A37="","",Requirements!A37)</f>
        <v/>
      </c>
      <c r="B37" s="11" t="str">
        <f>IF(Requirements!B37="","",Requirements!B37)</f>
        <v/>
      </c>
      <c r="C37" s="17" t="str">
        <f>IF(Requirements!E37="","",Requirements!E37)</f>
        <v/>
      </c>
      <c r="D37" s="10"/>
      <c r="E37" s="10"/>
      <c r="F37" s="10"/>
      <c r="G37" s="24"/>
      <c r="H37" s="17" t="str">
        <f t="shared" si="0"/>
        <v/>
      </c>
      <c r="I37" s="12"/>
    </row>
    <row r="38" spans="1:9" ht="27.75" customHeight="1" x14ac:dyDescent="0.25">
      <c r="A38" s="20" t="str">
        <f>IF(Requirements!A38="","",Requirements!A38)</f>
        <v/>
      </c>
      <c r="B38" s="11" t="str">
        <f>IF(Requirements!B38="","",Requirements!B38)</f>
        <v/>
      </c>
      <c r="C38" s="17" t="str">
        <f>IF(Requirements!E38="","",Requirements!E38)</f>
        <v/>
      </c>
      <c r="D38" s="10"/>
      <c r="E38" s="10"/>
      <c r="F38" s="10"/>
      <c r="G38" s="24"/>
      <c r="H38" s="17" t="str">
        <f t="shared" si="0"/>
        <v/>
      </c>
      <c r="I38" s="12"/>
    </row>
    <row r="39" spans="1:9" ht="27.75" customHeight="1" x14ac:dyDescent="0.25">
      <c r="A39" s="20" t="str">
        <f>IF(Requirements!A39="","",Requirements!A39)</f>
        <v/>
      </c>
      <c r="B39" s="11" t="str">
        <f>IF(Requirements!B39="","",Requirements!B39)</f>
        <v/>
      </c>
      <c r="C39" s="17" t="str">
        <f>IF(Requirements!E39="","",Requirements!E39)</f>
        <v/>
      </c>
      <c r="D39" s="10"/>
      <c r="E39" s="10"/>
      <c r="F39" s="10"/>
      <c r="G39" s="24"/>
      <c r="H39" s="17" t="str">
        <f t="shared" si="0"/>
        <v/>
      </c>
      <c r="I39" s="12"/>
    </row>
    <row r="40" spans="1:9" ht="27.75" customHeight="1" x14ac:dyDescent="0.25">
      <c r="A40" s="20" t="str">
        <f>IF(Requirements!A40="","",Requirements!A40)</f>
        <v/>
      </c>
      <c r="B40" s="11" t="str">
        <f>IF(Requirements!B40="","",Requirements!B40)</f>
        <v/>
      </c>
      <c r="C40" s="17" t="str">
        <f>IF(Requirements!E40="","",Requirements!E40)</f>
        <v/>
      </c>
      <c r="D40" s="10"/>
      <c r="E40" s="10"/>
      <c r="F40" s="10"/>
      <c r="G40" s="24"/>
      <c r="H40" s="17" t="str">
        <f t="shared" si="0"/>
        <v/>
      </c>
      <c r="I40" s="12"/>
    </row>
    <row r="41" spans="1:9" ht="27.75" customHeight="1" x14ac:dyDescent="0.25">
      <c r="A41" s="20" t="str">
        <f>IF(Requirements!A41="","",Requirements!A41)</f>
        <v/>
      </c>
      <c r="B41" s="11" t="str">
        <f>IF(Requirements!B41="","",Requirements!B41)</f>
        <v/>
      </c>
      <c r="C41" s="17" t="str">
        <f>IF(Requirements!E41="","",Requirements!E41)</f>
        <v/>
      </c>
      <c r="D41" s="10"/>
      <c r="E41" s="10"/>
      <c r="F41" s="10"/>
      <c r="G41" s="24"/>
      <c r="H41" s="17" t="str">
        <f t="shared" si="0"/>
        <v/>
      </c>
      <c r="I41" s="12"/>
    </row>
    <row r="42" spans="1:9" ht="27.75" customHeight="1" x14ac:dyDescent="0.25">
      <c r="A42" s="20" t="str">
        <f>IF(Requirements!A42="","",Requirements!A42)</f>
        <v/>
      </c>
      <c r="B42" s="11" t="str">
        <f>IF(Requirements!B42="","",Requirements!B42)</f>
        <v/>
      </c>
      <c r="C42" s="17" t="str">
        <f>IF(Requirements!E42="","",Requirements!E42)</f>
        <v/>
      </c>
      <c r="D42" s="10"/>
      <c r="E42" s="10"/>
      <c r="F42" s="10"/>
      <c r="G42" s="24"/>
      <c r="H42" s="17" t="str">
        <f t="shared" si="0"/>
        <v/>
      </c>
      <c r="I42" s="12"/>
    </row>
    <row r="43" spans="1:9" ht="27.75" customHeight="1" x14ac:dyDescent="0.25">
      <c r="A43" s="20" t="str">
        <f>IF(Requirements!A43="","",Requirements!A43)</f>
        <v/>
      </c>
      <c r="B43" s="11" t="str">
        <f>IF(Requirements!B43="","",Requirements!B43)</f>
        <v/>
      </c>
      <c r="C43" s="17" t="str">
        <f>IF(Requirements!E43="","",Requirements!E43)</f>
        <v/>
      </c>
      <c r="D43" s="10"/>
      <c r="E43" s="10"/>
      <c r="F43" s="10"/>
      <c r="G43" s="24"/>
      <c r="H43" s="17" t="str">
        <f t="shared" si="0"/>
        <v/>
      </c>
      <c r="I43" s="12"/>
    </row>
    <row r="44" spans="1:9" ht="27.75" customHeight="1" x14ac:dyDescent="0.25">
      <c r="A44" s="20" t="str">
        <f>IF(Requirements!A44="","",Requirements!A44)</f>
        <v/>
      </c>
      <c r="B44" s="11" t="str">
        <f>IF(Requirements!B44="","",Requirements!B44)</f>
        <v/>
      </c>
      <c r="C44" s="17" t="str">
        <f>IF(Requirements!E44="","",Requirements!E44)</f>
        <v/>
      </c>
      <c r="D44" s="10"/>
      <c r="E44" s="10"/>
      <c r="F44" s="10"/>
      <c r="G44" s="24"/>
      <c r="H44" s="17" t="str">
        <f t="shared" si="0"/>
        <v/>
      </c>
      <c r="I44" s="12"/>
    </row>
    <row r="45" spans="1:9" ht="27.75" customHeight="1" x14ac:dyDescent="0.25">
      <c r="A45" s="20" t="str">
        <f>IF(Requirements!A45="","",Requirements!A45)</f>
        <v/>
      </c>
      <c r="B45" s="11" t="str">
        <f>IF(Requirements!B45="","",Requirements!B45)</f>
        <v/>
      </c>
      <c r="C45" s="17" t="str">
        <f>IF(Requirements!E45="","",Requirements!E45)</f>
        <v/>
      </c>
      <c r="D45" s="10"/>
      <c r="E45" s="10"/>
      <c r="F45" s="10"/>
      <c r="G45" s="24"/>
      <c r="H45" s="17" t="str">
        <f t="shared" si="0"/>
        <v/>
      </c>
      <c r="I45" s="12"/>
    </row>
    <row r="46" spans="1:9" ht="27.75" customHeight="1" x14ac:dyDescent="0.25">
      <c r="A46" s="20" t="str">
        <f>IF(Requirements!A46="","",Requirements!A46)</f>
        <v/>
      </c>
      <c r="B46" s="11" t="str">
        <f>IF(Requirements!B46="","",Requirements!B46)</f>
        <v/>
      </c>
      <c r="C46" s="17" t="str">
        <f>IF(Requirements!E46="","",Requirements!E46)</f>
        <v/>
      </c>
      <c r="D46" s="10"/>
      <c r="E46" s="10"/>
      <c r="F46" s="10"/>
      <c r="G46" s="24"/>
      <c r="H46" s="17" t="str">
        <f t="shared" si="0"/>
        <v/>
      </c>
      <c r="I46" s="12"/>
    </row>
    <row r="47" spans="1:9" ht="27.75" customHeight="1" x14ac:dyDescent="0.25">
      <c r="A47" s="20" t="str">
        <f>IF(Requirements!A47="","",Requirements!A47)</f>
        <v/>
      </c>
      <c r="B47" s="11" t="str">
        <f>IF(Requirements!B47="","",Requirements!B47)</f>
        <v/>
      </c>
      <c r="C47" s="17" t="str">
        <f>IF(Requirements!E47="","",Requirements!E47)</f>
        <v/>
      </c>
      <c r="D47" s="10"/>
      <c r="E47" s="10"/>
      <c r="F47" s="10"/>
      <c r="G47" s="24"/>
      <c r="H47" s="17" t="str">
        <f t="shared" si="0"/>
        <v/>
      </c>
      <c r="I47" s="12"/>
    </row>
    <row r="48" spans="1:9" ht="27.75" customHeight="1" x14ac:dyDescent="0.25">
      <c r="A48" s="20" t="str">
        <f>IF(Requirements!A48="","",Requirements!A48)</f>
        <v/>
      </c>
      <c r="B48" s="11" t="str">
        <f>IF(Requirements!B48="","",Requirements!B48)</f>
        <v/>
      </c>
      <c r="C48" s="17" t="str">
        <f>IF(Requirements!E48="","",Requirements!E48)</f>
        <v/>
      </c>
      <c r="D48" s="10"/>
      <c r="E48" s="10"/>
      <c r="F48" s="10"/>
      <c r="G48" s="24"/>
      <c r="H48" s="17" t="str">
        <f t="shared" si="0"/>
        <v/>
      </c>
      <c r="I48" s="12"/>
    </row>
    <row r="49" spans="1:9" ht="27.75" customHeight="1" x14ac:dyDescent="0.25">
      <c r="A49" s="20" t="str">
        <f>IF(Requirements!A49="","",Requirements!A49)</f>
        <v/>
      </c>
      <c r="B49" s="11" t="str">
        <f>IF(Requirements!B49="","",Requirements!B49)</f>
        <v/>
      </c>
      <c r="C49" s="17" t="str">
        <f>IF(Requirements!E49="","",Requirements!E49)</f>
        <v/>
      </c>
      <c r="D49" s="10"/>
      <c r="E49" s="10"/>
      <c r="F49" s="10"/>
      <c r="G49" s="24"/>
      <c r="H49" s="17" t="str">
        <f t="shared" si="0"/>
        <v/>
      </c>
      <c r="I49" s="12"/>
    </row>
    <row r="51" spans="1:9" x14ac:dyDescent="0.25">
      <c r="B51" s="15" t="s">
        <v>385</v>
      </c>
      <c r="C51" s="17">
        <f>COUNTIF(G5:G49,"Pass")</f>
        <v>0</v>
      </c>
    </row>
    <row r="52" spans="1:9" x14ac:dyDescent="0.25">
      <c r="B52" s="15" t="s">
        <v>386</v>
      </c>
      <c r="C52" s="17">
        <f>COUNTIF(H5:H49,"No test")</f>
        <v>0</v>
      </c>
    </row>
  </sheetData>
  <conditionalFormatting sqref="H5:H49">
    <cfRule type="expression" dxfId="6" priority="2">
      <formula>H5="No test"</formula>
    </cfRule>
  </conditionalFormatting>
  <dataValidations count="1">
    <dataValidation type="list" allowBlank="1" sqref="G5:G49" xr:uid="{00000000-0002-0000-0800-000000000000}">
      <formula1>"Pass,Fail,Not tested"</formula1>
      <formula2>0</formula2>
    </dataValidation>
  </dataValidation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35"/>
  <sheetViews>
    <sheetView showGridLines="0" zoomScaleNormal="100" workbookViewId="0"/>
  </sheetViews>
  <sheetFormatPr defaultColWidth="8.7109375" defaultRowHeight="15" x14ac:dyDescent="0.25"/>
  <cols>
    <col min="1" max="1" width="34" customWidth="1"/>
    <col min="2" max="2" width="50" customWidth="1"/>
    <col min="3" max="4" width="18" customWidth="1"/>
    <col min="5" max="6" width="30" customWidth="1"/>
  </cols>
  <sheetData>
    <row r="1" spans="1:6" ht="19.5" x14ac:dyDescent="0.3">
      <c r="A1" s="7" t="s">
        <v>387</v>
      </c>
    </row>
    <row r="2" spans="1:6" x14ac:dyDescent="0.25">
      <c r="A2" s="8" t="s">
        <v>388</v>
      </c>
    </row>
    <row r="3" spans="1:6" ht="15.75" x14ac:dyDescent="0.25">
      <c r="A3" s="9" t="s">
        <v>389</v>
      </c>
    </row>
    <row r="4" spans="1:6" x14ac:dyDescent="0.25">
      <c r="A4" s="13" t="s">
        <v>390</v>
      </c>
      <c r="B4" s="18" t="s">
        <v>391</v>
      </c>
    </row>
    <row r="5" spans="1:6" ht="33.75" customHeight="1" x14ac:dyDescent="0.25">
      <c r="A5" s="15" t="s">
        <v>392</v>
      </c>
      <c r="B5" s="5"/>
      <c r="C5" s="5"/>
      <c r="D5" s="5"/>
    </row>
    <row r="6" spans="1:6" ht="33.75" customHeight="1" x14ac:dyDescent="0.25">
      <c r="A6" s="15" t="s">
        <v>393</v>
      </c>
      <c r="B6" s="5"/>
      <c r="C6" s="5"/>
      <c r="D6" s="5"/>
    </row>
    <row r="7" spans="1:6" ht="33.75" customHeight="1" x14ac:dyDescent="0.25">
      <c r="A7" s="15" t="s">
        <v>394</v>
      </c>
      <c r="B7" s="5"/>
      <c r="C7" s="5"/>
      <c r="D7" s="5"/>
    </row>
    <row r="8" spans="1:6" ht="33.75" customHeight="1" x14ac:dyDescent="0.25">
      <c r="A8" s="15" t="s">
        <v>395</v>
      </c>
      <c r="B8" s="5"/>
      <c r="C8" s="5"/>
      <c r="D8" s="5"/>
    </row>
    <row r="9" spans="1:6" ht="33.75" customHeight="1" x14ac:dyDescent="0.25">
      <c r="A9" s="15" t="s">
        <v>396</v>
      </c>
      <c r="B9" s="5"/>
      <c r="C9" s="5"/>
      <c r="D9" s="5"/>
    </row>
    <row r="10" spans="1:6" ht="33.75" customHeight="1" x14ac:dyDescent="0.25">
      <c r="A10" s="15" t="s">
        <v>397</v>
      </c>
      <c r="B10" s="5"/>
      <c r="C10" s="5"/>
      <c r="D10" s="5"/>
    </row>
    <row r="11" spans="1:6" ht="33.75" customHeight="1" x14ac:dyDescent="0.25">
      <c r="A11" s="15" t="s">
        <v>398</v>
      </c>
      <c r="B11" s="5"/>
      <c r="C11" s="5"/>
      <c r="D11" s="5"/>
    </row>
    <row r="13" spans="1:6" ht="15.75" x14ac:dyDescent="0.25">
      <c r="A13" s="9" t="s">
        <v>399</v>
      </c>
    </row>
    <row r="14" spans="1:6" ht="33.75" customHeight="1" x14ac:dyDescent="0.25">
      <c r="A14" s="18" t="s">
        <v>400</v>
      </c>
      <c r="B14" s="18" t="s">
        <v>401</v>
      </c>
      <c r="C14" s="18" t="s">
        <v>402</v>
      </c>
      <c r="D14" s="18" t="s">
        <v>403</v>
      </c>
      <c r="E14" s="18" t="s">
        <v>404</v>
      </c>
      <c r="F14" s="19" t="s">
        <v>88</v>
      </c>
    </row>
    <row r="15" spans="1:6" ht="27.75" customHeight="1" x14ac:dyDescent="0.25">
      <c r="A15" s="10"/>
      <c r="B15" s="10"/>
      <c r="C15" s="10"/>
      <c r="D15" s="10"/>
      <c r="E15" s="10"/>
      <c r="F15" s="12"/>
    </row>
    <row r="16" spans="1:6" ht="27.75" customHeight="1" x14ac:dyDescent="0.25">
      <c r="A16" s="10"/>
      <c r="B16" s="10"/>
      <c r="C16" s="10"/>
      <c r="D16" s="10"/>
      <c r="E16" s="10"/>
      <c r="F16" s="12"/>
    </row>
    <row r="17" spans="1:6" ht="27.75" customHeight="1" x14ac:dyDescent="0.25">
      <c r="A17" s="10"/>
      <c r="B17" s="10"/>
      <c r="C17" s="10"/>
      <c r="D17" s="10"/>
      <c r="E17" s="10"/>
      <c r="F17" s="12"/>
    </row>
    <row r="18" spans="1:6" ht="27.75" customHeight="1" x14ac:dyDescent="0.25">
      <c r="A18" s="10"/>
      <c r="B18" s="10"/>
      <c r="C18" s="10"/>
      <c r="D18" s="10"/>
      <c r="E18" s="10"/>
      <c r="F18" s="12"/>
    </row>
    <row r="19" spans="1:6" ht="27.75" customHeight="1" x14ac:dyDescent="0.25">
      <c r="A19" s="10"/>
      <c r="B19" s="10"/>
      <c r="C19" s="10"/>
      <c r="D19" s="10"/>
      <c r="E19" s="10"/>
      <c r="F19" s="12"/>
    </row>
    <row r="20" spans="1:6" ht="27.75" customHeight="1" x14ac:dyDescent="0.25">
      <c r="A20" s="10"/>
      <c r="B20" s="10"/>
      <c r="C20" s="10"/>
      <c r="D20" s="10"/>
      <c r="E20" s="10"/>
      <c r="F20" s="12"/>
    </row>
    <row r="21" spans="1:6" ht="27.75" customHeight="1" x14ac:dyDescent="0.25">
      <c r="A21" s="10"/>
      <c r="B21" s="10"/>
      <c r="C21" s="10"/>
      <c r="D21" s="10"/>
      <c r="E21" s="10"/>
      <c r="F21" s="12"/>
    </row>
    <row r="22" spans="1:6" ht="27.75" customHeight="1" x14ac:dyDescent="0.25">
      <c r="A22" s="10"/>
      <c r="B22" s="10"/>
      <c r="C22" s="10"/>
      <c r="D22" s="10"/>
      <c r="E22" s="10"/>
      <c r="F22" s="12"/>
    </row>
    <row r="23" spans="1:6" ht="27.75" customHeight="1" x14ac:dyDescent="0.25">
      <c r="A23" s="10"/>
      <c r="B23" s="10"/>
      <c r="C23" s="10"/>
      <c r="D23" s="10"/>
      <c r="E23" s="10"/>
      <c r="F23" s="12"/>
    </row>
    <row r="24" spans="1:6" ht="27.75" customHeight="1" x14ac:dyDescent="0.25">
      <c r="A24" s="10"/>
      <c r="B24" s="10"/>
      <c r="C24" s="10"/>
      <c r="D24" s="10"/>
      <c r="E24" s="10"/>
      <c r="F24" s="12"/>
    </row>
    <row r="25" spans="1:6" ht="27.75" customHeight="1" x14ac:dyDescent="0.25">
      <c r="A25" s="10"/>
      <c r="B25" s="10"/>
      <c r="C25" s="10"/>
      <c r="D25" s="10"/>
      <c r="E25" s="10"/>
      <c r="F25" s="12"/>
    </row>
    <row r="26" spans="1:6" ht="27.75" customHeight="1" x14ac:dyDescent="0.25">
      <c r="A26" s="10"/>
      <c r="B26" s="10"/>
      <c r="C26" s="10"/>
      <c r="D26" s="10"/>
      <c r="E26" s="10"/>
      <c r="F26" s="12"/>
    </row>
    <row r="27" spans="1:6" ht="27.75" customHeight="1" x14ac:dyDescent="0.25">
      <c r="A27" s="10"/>
      <c r="B27" s="10"/>
      <c r="C27" s="10"/>
      <c r="D27" s="10"/>
      <c r="E27" s="10"/>
      <c r="F27" s="12"/>
    </row>
    <row r="28" spans="1:6" ht="27.75" customHeight="1" x14ac:dyDescent="0.25">
      <c r="A28" s="10"/>
      <c r="B28" s="10"/>
      <c r="C28" s="10"/>
      <c r="D28" s="10"/>
      <c r="E28" s="10"/>
      <c r="F28" s="12"/>
    </row>
    <row r="29" spans="1:6" ht="27.75" customHeight="1" x14ac:dyDescent="0.25">
      <c r="A29" s="10"/>
      <c r="B29" s="10"/>
      <c r="C29" s="10"/>
      <c r="D29" s="10"/>
      <c r="E29" s="10"/>
      <c r="F29" s="12"/>
    </row>
    <row r="31" spans="1:6" x14ac:dyDescent="0.25">
      <c r="A31" s="15" t="s">
        <v>405</v>
      </c>
      <c r="B31" s="17">
        <f>COUNTIF(C15:C29,"Added")</f>
        <v>0</v>
      </c>
    </row>
    <row r="32" spans="1:6" x14ac:dyDescent="0.25">
      <c r="A32" s="15" t="s">
        <v>406</v>
      </c>
      <c r="B32" s="17">
        <f>COUNTIF(C15:C29,"Modified")</f>
        <v>0</v>
      </c>
    </row>
    <row r="33" spans="1:2" x14ac:dyDescent="0.25">
      <c r="A33" s="15" t="s">
        <v>407</v>
      </c>
      <c r="B33" s="17">
        <f>COUNTIFS(C15:C29,"Modified",D15:D29,"Yes")</f>
        <v>0</v>
      </c>
    </row>
    <row r="35" spans="1:2" x14ac:dyDescent="0.25">
      <c r="A35" s="21" t="s">
        <v>408</v>
      </c>
    </row>
  </sheetData>
  <mergeCells count="7">
    <mergeCell ref="B10:D10"/>
    <mergeCell ref="B11:D11"/>
    <mergeCell ref="B5:D5"/>
    <mergeCell ref="B6:D6"/>
    <mergeCell ref="B7:D7"/>
    <mergeCell ref="B8:D8"/>
    <mergeCell ref="B9:D9"/>
  </mergeCells>
  <conditionalFormatting sqref="A15:D29">
    <cfRule type="expression" dxfId="5" priority="2">
      <formula>AND($C15="Modified",$D15="Yes")</formula>
    </cfRule>
  </conditionalFormatting>
  <dataValidations count="3">
    <dataValidation type="list" allowBlank="1" sqref="B11" xr:uid="{00000000-0002-0000-0900-000000000000}">
      <formula1>"No,Yes"</formula1>
      <formula2>0</formula2>
    </dataValidation>
    <dataValidation type="list" allowBlank="1" showErrorMessage="1" error="Choose a value from the list." sqref="C15:C29" xr:uid="{00000000-0002-0000-0900-000001000000}">
      <formula1>"Added,Modified"</formula1>
      <formula2>0</formula2>
    </dataValidation>
    <dataValidation type="list" allowBlank="1" showErrorMessage="1" error="Choose a value from the list." sqref="D15:D29" xr:uid="{00000000-0002-0000-0900-000002000000}">
      <formula1>"No,Yes"</formula1>
      <formula2>0</formula2>
    </dataValidation>
  </dataValidation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17"/>
  <sheetViews>
    <sheetView showGridLines="0" zoomScaleNormal="100" workbookViewId="0"/>
  </sheetViews>
  <sheetFormatPr defaultColWidth="8.7109375" defaultRowHeight="15" x14ac:dyDescent="0.25"/>
  <cols>
    <col min="1" max="1" width="8" customWidth="1"/>
    <col min="2" max="2" width="70" customWidth="1"/>
    <col min="3" max="4" width="14" customWidth="1"/>
    <col min="5" max="5" width="44" customWidth="1"/>
  </cols>
  <sheetData>
    <row r="1" spans="1:5" ht="19.5" x14ac:dyDescent="0.3">
      <c r="A1" s="7" t="s">
        <v>51</v>
      </c>
    </row>
    <row r="2" spans="1:5" x14ac:dyDescent="0.25">
      <c r="A2" s="8" t="s">
        <v>409</v>
      </c>
    </row>
    <row r="4" spans="1:5" x14ac:dyDescent="0.25">
      <c r="A4" s="13" t="s">
        <v>410</v>
      </c>
      <c r="B4" s="13" t="s">
        <v>143</v>
      </c>
      <c r="C4" s="18" t="s">
        <v>411</v>
      </c>
      <c r="D4" s="19" t="s">
        <v>412</v>
      </c>
      <c r="E4" s="13" t="s">
        <v>413</v>
      </c>
    </row>
    <row r="5" spans="1:5" x14ac:dyDescent="0.25">
      <c r="A5" s="25"/>
      <c r="B5" s="15" t="s">
        <v>414</v>
      </c>
      <c r="C5" s="25"/>
      <c r="D5" s="25"/>
      <c r="E5" s="25"/>
    </row>
    <row r="6" spans="1:5" ht="27.75" customHeight="1" x14ac:dyDescent="0.25">
      <c r="A6" s="17">
        <v>1</v>
      </c>
      <c r="B6" s="11" t="s">
        <v>415</v>
      </c>
      <c r="C6" s="24"/>
      <c r="D6" s="26"/>
      <c r="E6" s="27"/>
    </row>
    <row r="7" spans="1:5" ht="27.75" customHeight="1" x14ac:dyDescent="0.25">
      <c r="A7" s="17">
        <v>2</v>
      </c>
      <c r="B7" s="11" t="s">
        <v>416</v>
      </c>
      <c r="C7" s="24"/>
      <c r="D7" s="26"/>
      <c r="E7" s="27"/>
    </row>
    <row r="8" spans="1:5" ht="27.75" customHeight="1" x14ac:dyDescent="0.25">
      <c r="A8" s="17">
        <v>3</v>
      </c>
      <c r="B8" s="11" t="s">
        <v>417</v>
      </c>
      <c r="C8" s="24"/>
      <c r="D8" s="26"/>
      <c r="E8" s="27"/>
    </row>
    <row r="9" spans="1:5" ht="27.75" customHeight="1" x14ac:dyDescent="0.25">
      <c r="A9" s="17">
        <v>4</v>
      </c>
      <c r="B9" s="11" t="s">
        <v>418</v>
      </c>
      <c r="C9" s="24"/>
      <c r="D9" s="26"/>
      <c r="E9" s="27"/>
    </row>
    <row r="10" spans="1:5" ht="27.75" customHeight="1" x14ac:dyDescent="0.25">
      <c r="A10" s="17">
        <v>5</v>
      </c>
      <c r="B10" s="11" t="s">
        <v>419</v>
      </c>
      <c r="C10" s="24"/>
      <c r="D10" s="26"/>
      <c r="E10" s="27"/>
    </row>
    <row r="11" spans="1:5" ht="27.75" customHeight="1" x14ac:dyDescent="0.25">
      <c r="A11" s="17">
        <v>6</v>
      </c>
      <c r="B11" s="11" t="s">
        <v>420</v>
      </c>
      <c r="C11" s="24"/>
      <c r="D11" s="26"/>
      <c r="E11" s="27"/>
    </row>
    <row r="12" spans="1:5" ht="27.75" customHeight="1" x14ac:dyDescent="0.25">
      <c r="A12" s="17">
        <v>7</v>
      </c>
      <c r="B12" s="11" t="s">
        <v>421</v>
      </c>
      <c r="C12" s="24"/>
      <c r="D12" s="26"/>
      <c r="E12" s="27"/>
    </row>
    <row r="13" spans="1:5" ht="27.75" customHeight="1" x14ac:dyDescent="0.25">
      <c r="A13" s="17">
        <v>8</v>
      </c>
      <c r="B13" s="11" t="s">
        <v>422</v>
      </c>
      <c r="C13" s="24"/>
      <c r="D13" s="26"/>
      <c r="E13" s="27"/>
    </row>
    <row r="14" spans="1:5" x14ac:dyDescent="0.25">
      <c r="A14" s="25"/>
      <c r="B14" s="15" t="s">
        <v>423</v>
      </c>
      <c r="C14" s="25"/>
      <c r="D14" s="25"/>
      <c r="E14" s="25"/>
    </row>
    <row r="15" spans="1:5" ht="27.75" customHeight="1" x14ac:dyDescent="0.25">
      <c r="A15" s="17">
        <v>9</v>
      </c>
      <c r="B15" s="11" t="s">
        <v>424</v>
      </c>
      <c r="C15" s="24"/>
      <c r="D15" s="26"/>
      <c r="E15" s="27"/>
    </row>
    <row r="16" spans="1:5" ht="27.75" customHeight="1" x14ac:dyDescent="0.25">
      <c r="A16" s="17">
        <v>10</v>
      </c>
      <c r="B16" s="11" t="s">
        <v>425</v>
      </c>
      <c r="C16" s="24"/>
      <c r="D16" s="26"/>
      <c r="E16" s="27"/>
    </row>
    <row r="17" spans="1:5" ht="27.75" customHeight="1" x14ac:dyDescent="0.25">
      <c r="A17" s="17">
        <v>11</v>
      </c>
      <c r="B17" s="11" t="s">
        <v>426</v>
      </c>
      <c r="C17" s="24"/>
      <c r="D17" s="26"/>
      <c r="E17" s="27"/>
    </row>
  </sheetData>
  <conditionalFormatting sqref="C5:D18">
    <cfRule type="cellIs" dxfId="4" priority="2" operator="equal">
      <formula>"Yes"</formula>
    </cfRule>
    <cfRule type="cellIs" dxfId="3" priority="3" operator="equal">
      <formula>"Partial"</formula>
    </cfRule>
    <cfRule type="cellIs" dxfId="2" priority="4" operator="equal">
      <formula>"No"</formula>
    </cfRule>
    <cfRule type="cellIs" dxfId="1" priority="5" operator="equal">
      <formula>"N/A"</formula>
    </cfRule>
  </conditionalFormatting>
  <dataValidations count="1">
    <dataValidation type="list" allowBlank="1" sqref="C6:D13 C15:D17" xr:uid="{00000000-0002-0000-0A00-000000000000}">
      <formula1>"Yes,Partial,No,N/A"</formula1>
      <formula2>0</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42"/>
  <sheetViews>
    <sheetView showGridLines="0" zoomScaleNormal="100" workbookViewId="0"/>
  </sheetViews>
  <sheetFormatPr defaultColWidth="8.7109375" defaultRowHeight="15" x14ac:dyDescent="0.25"/>
  <cols>
    <col min="1" max="1" width="14" customWidth="1"/>
    <col min="2" max="2" width="26" customWidth="1"/>
    <col min="3" max="3" width="14" customWidth="1"/>
    <col min="4" max="4" width="16" customWidth="1"/>
    <col min="5" max="5" width="30" customWidth="1"/>
    <col min="6" max="7" width="36" customWidth="1"/>
    <col min="8" max="8" width="22" customWidth="1"/>
  </cols>
  <sheetData>
    <row r="1" spans="1:8" ht="19.5" x14ac:dyDescent="0.3">
      <c r="A1" s="7" t="s">
        <v>427</v>
      </c>
    </row>
    <row r="2" spans="1:8" x14ac:dyDescent="0.25">
      <c r="A2" s="8" t="s">
        <v>428</v>
      </c>
    </row>
    <row r="4" spans="1:8" ht="39.75" customHeight="1" x14ac:dyDescent="0.25">
      <c r="A4" s="13" t="s">
        <v>71</v>
      </c>
      <c r="B4" s="18" t="s">
        <v>72</v>
      </c>
      <c r="C4" s="18" t="s">
        <v>73</v>
      </c>
      <c r="D4" s="18" t="s">
        <v>429</v>
      </c>
      <c r="E4" s="18" t="s">
        <v>430</v>
      </c>
      <c r="F4" s="18" t="s">
        <v>431</v>
      </c>
      <c r="G4" s="18" t="s">
        <v>432</v>
      </c>
      <c r="H4" s="19" t="s">
        <v>88</v>
      </c>
    </row>
    <row r="5" spans="1:8" ht="39.75" customHeight="1" x14ac:dyDescent="0.25">
      <c r="A5" s="15" t="s">
        <v>78</v>
      </c>
      <c r="B5" s="10"/>
      <c r="C5" s="10"/>
      <c r="D5" s="24"/>
      <c r="E5" s="10"/>
      <c r="F5" s="10"/>
      <c r="G5" s="10"/>
      <c r="H5" s="12"/>
    </row>
    <row r="6" spans="1:8" ht="39.75" customHeight="1" x14ac:dyDescent="0.25">
      <c r="A6" s="15" t="s">
        <v>79</v>
      </c>
      <c r="B6" s="10"/>
      <c r="C6" s="10"/>
      <c r="D6" s="24"/>
      <c r="E6" s="10"/>
      <c r="F6" s="10"/>
      <c r="G6" s="10"/>
      <c r="H6" s="12"/>
    </row>
    <row r="7" spans="1:8" ht="39.75" customHeight="1" x14ac:dyDescent="0.25">
      <c r="A7" s="15" t="s">
        <v>80</v>
      </c>
      <c r="B7" s="10"/>
      <c r="C7" s="10"/>
      <c r="D7" s="24"/>
      <c r="E7" s="10"/>
      <c r="F7" s="10"/>
      <c r="G7" s="10"/>
      <c r="H7" s="12"/>
    </row>
    <row r="9" spans="1:8" x14ac:dyDescent="0.25">
      <c r="A9" s="21" t="s">
        <v>433</v>
      </c>
    </row>
    <row r="11" spans="1:8" ht="15.75" x14ac:dyDescent="0.25">
      <c r="A11" s="9" t="s">
        <v>434</v>
      </c>
    </row>
    <row r="12" spans="1:8" ht="33.75" customHeight="1" x14ac:dyDescent="0.25">
      <c r="A12" s="18" t="s">
        <v>153</v>
      </c>
      <c r="B12" s="18" t="s">
        <v>73</v>
      </c>
      <c r="C12" s="18" t="s">
        <v>435</v>
      </c>
      <c r="D12" s="18" t="s">
        <v>436</v>
      </c>
      <c r="E12" s="18" t="s">
        <v>437</v>
      </c>
      <c r="F12" s="18" t="s">
        <v>438</v>
      </c>
      <c r="G12" s="19" t="s">
        <v>88</v>
      </c>
    </row>
    <row r="13" spans="1:8" ht="25.5" customHeight="1" x14ac:dyDescent="0.25">
      <c r="A13" s="10"/>
      <c r="B13" s="10"/>
      <c r="C13" s="10"/>
      <c r="D13" s="10"/>
      <c r="E13" s="10"/>
      <c r="F13" s="10"/>
      <c r="G13" s="12"/>
    </row>
    <row r="14" spans="1:8" ht="25.5" customHeight="1" x14ac:dyDescent="0.25">
      <c r="A14" s="10"/>
      <c r="B14" s="10"/>
      <c r="C14" s="10"/>
      <c r="D14" s="10"/>
      <c r="E14" s="10"/>
      <c r="F14" s="10"/>
      <c r="G14" s="12"/>
    </row>
    <row r="15" spans="1:8" ht="25.5" customHeight="1" x14ac:dyDescent="0.25">
      <c r="A15" s="10"/>
      <c r="B15" s="10"/>
      <c r="C15" s="10"/>
      <c r="D15" s="10"/>
      <c r="E15" s="10"/>
      <c r="F15" s="10"/>
      <c r="G15" s="12"/>
    </row>
    <row r="16" spans="1:8" ht="25.5" customHeight="1" x14ac:dyDescent="0.25">
      <c r="A16" s="10"/>
      <c r="B16" s="10"/>
      <c r="C16" s="10"/>
      <c r="D16" s="10"/>
      <c r="E16" s="10"/>
      <c r="F16" s="10"/>
      <c r="G16" s="12"/>
    </row>
    <row r="17" spans="1:7" ht="25.5" customHeight="1" x14ac:dyDescent="0.25">
      <c r="A17" s="10"/>
      <c r="B17" s="10"/>
      <c r="C17" s="10"/>
      <c r="D17" s="10"/>
      <c r="E17" s="10"/>
      <c r="F17" s="10"/>
      <c r="G17" s="12"/>
    </row>
    <row r="18" spans="1:7" ht="25.5" customHeight="1" x14ac:dyDescent="0.25">
      <c r="A18" s="10"/>
      <c r="B18" s="10"/>
      <c r="C18" s="10"/>
      <c r="D18" s="10"/>
      <c r="E18" s="10"/>
      <c r="F18" s="10"/>
      <c r="G18" s="12"/>
    </row>
    <row r="19" spans="1:7" ht="25.5" customHeight="1" x14ac:dyDescent="0.25">
      <c r="A19" s="10"/>
      <c r="B19" s="10"/>
      <c r="C19" s="10"/>
      <c r="D19" s="10"/>
      <c r="E19" s="10"/>
      <c r="F19" s="10"/>
      <c r="G19" s="12"/>
    </row>
    <row r="20" spans="1:7" ht="25.5" customHeight="1" x14ac:dyDescent="0.25">
      <c r="A20" s="10"/>
      <c r="B20" s="10"/>
      <c r="C20" s="10"/>
      <c r="D20" s="10"/>
      <c r="E20" s="10"/>
      <c r="F20" s="10"/>
      <c r="G20" s="12"/>
    </row>
    <row r="21" spans="1:7" ht="25.5" customHeight="1" x14ac:dyDescent="0.25">
      <c r="A21" s="10"/>
      <c r="B21" s="10"/>
      <c r="C21" s="10"/>
      <c r="D21" s="10"/>
      <c r="E21" s="10"/>
      <c r="F21" s="10"/>
      <c r="G21" s="12"/>
    </row>
    <row r="22" spans="1:7" ht="25.5" customHeight="1" x14ac:dyDescent="0.25">
      <c r="A22" s="10"/>
      <c r="B22" s="10"/>
      <c r="C22" s="10"/>
      <c r="D22" s="10"/>
      <c r="E22" s="10"/>
      <c r="F22" s="10"/>
      <c r="G22" s="12"/>
    </row>
    <row r="23" spans="1:7" ht="25.5" customHeight="1" x14ac:dyDescent="0.25">
      <c r="A23" s="10"/>
      <c r="B23" s="10"/>
      <c r="C23" s="10"/>
      <c r="D23" s="10"/>
      <c r="E23" s="10"/>
      <c r="F23" s="10"/>
      <c r="G23" s="12"/>
    </row>
    <row r="24" spans="1:7" ht="25.5" customHeight="1" x14ac:dyDescent="0.25">
      <c r="A24" s="10"/>
      <c r="B24" s="10"/>
      <c r="C24" s="10"/>
      <c r="D24" s="10"/>
      <c r="E24" s="10"/>
      <c r="F24" s="10"/>
      <c r="G24" s="12"/>
    </row>
    <row r="25" spans="1:7" ht="25.5" customHeight="1" x14ac:dyDescent="0.25">
      <c r="A25" s="10"/>
      <c r="B25" s="10"/>
      <c r="C25" s="10"/>
      <c r="D25" s="10"/>
      <c r="E25" s="10"/>
      <c r="F25" s="10"/>
      <c r="G25" s="12"/>
    </row>
    <row r="26" spans="1:7" ht="25.5" customHeight="1" x14ac:dyDescent="0.25">
      <c r="A26" s="10"/>
      <c r="B26" s="10"/>
      <c r="C26" s="10"/>
      <c r="D26" s="10"/>
      <c r="E26" s="10"/>
      <c r="F26" s="10"/>
      <c r="G26" s="12"/>
    </row>
    <row r="27" spans="1:7" ht="25.5" customHeight="1" x14ac:dyDescent="0.25">
      <c r="A27" s="10"/>
      <c r="B27" s="10"/>
      <c r="C27" s="10"/>
      <c r="D27" s="10"/>
      <c r="E27" s="10"/>
      <c r="F27" s="10"/>
      <c r="G27" s="12"/>
    </row>
    <row r="28" spans="1:7" ht="25.5" customHeight="1" x14ac:dyDescent="0.25">
      <c r="A28" s="10"/>
      <c r="B28" s="10"/>
      <c r="C28" s="10"/>
      <c r="D28" s="10"/>
      <c r="E28" s="10"/>
      <c r="F28" s="10"/>
      <c r="G28" s="12"/>
    </row>
    <row r="29" spans="1:7" ht="25.5" customHeight="1" x14ac:dyDescent="0.25">
      <c r="A29" s="10"/>
      <c r="B29" s="10"/>
      <c r="C29" s="10"/>
      <c r="D29" s="10"/>
      <c r="E29" s="10"/>
      <c r="F29" s="10"/>
      <c r="G29" s="12"/>
    </row>
    <row r="30" spans="1:7" ht="25.5" customHeight="1" x14ac:dyDescent="0.25">
      <c r="A30" s="10"/>
      <c r="B30" s="10"/>
      <c r="C30" s="10"/>
      <c r="D30" s="10"/>
      <c r="E30" s="10"/>
      <c r="F30" s="10"/>
      <c r="G30" s="12"/>
    </row>
    <row r="31" spans="1:7" ht="25.5" customHeight="1" x14ac:dyDescent="0.25">
      <c r="A31" s="10"/>
      <c r="B31" s="10"/>
      <c r="C31" s="10"/>
      <c r="D31" s="10"/>
      <c r="E31" s="10"/>
      <c r="F31" s="10"/>
      <c r="G31" s="12"/>
    </row>
    <row r="32" spans="1:7" ht="25.5" customHeight="1" x14ac:dyDescent="0.25">
      <c r="A32" s="10"/>
      <c r="B32" s="10"/>
      <c r="C32" s="10"/>
      <c r="D32" s="10"/>
      <c r="E32" s="10"/>
      <c r="F32" s="10"/>
      <c r="G32" s="12"/>
    </row>
    <row r="33" spans="1:7" ht="25.5" customHeight="1" x14ac:dyDescent="0.25">
      <c r="A33" s="10"/>
      <c r="B33" s="10"/>
      <c r="C33" s="10"/>
      <c r="D33" s="10"/>
      <c r="E33" s="10"/>
      <c r="F33" s="10"/>
      <c r="G33" s="12"/>
    </row>
    <row r="34" spans="1:7" ht="25.5" customHeight="1" x14ac:dyDescent="0.25">
      <c r="A34" s="10"/>
      <c r="B34" s="10"/>
      <c r="C34" s="10"/>
      <c r="D34" s="10"/>
      <c r="E34" s="10"/>
      <c r="F34" s="10"/>
      <c r="G34" s="12"/>
    </row>
    <row r="35" spans="1:7" ht="25.5" customHeight="1" x14ac:dyDescent="0.25">
      <c r="A35" s="10"/>
      <c r="B35" s="10"/>
      <c r="C35" s="10"/>
      <c r="D35" s="10"/>
      <c r="E35" s="10"/>
      <c r="F35" s="10"/>
      <c r="G35" s="12"/>
    </row>
    <row r="36" spans="1:7" ht="25.5" customHeight="1" x14ac:dyDescent="0.25">
      <c r="A36" s="10"/>
      <c r="B36" s="10"/>
      <c r="C36" s="10"/>
      <c r="D36" s="10"/>
      <c r="E36" s="10"/>
      <c r="F36" s="10"/>
      <c r="G36" s="12"/>
    </row>
    <row r="37" spans="1:7" ht="25.5" customHeight="1" x14ac:dyDescent="0.25">
      <c r="A37" s="10"/>
      <c r="B37" s="10"/>
      <c r="C37" s="10"/>
      <c r="D37" s="10"/>
      <c r="E37" s="10"/>
      <c r="F37" s="10"/>
      <c r="G37" s="12"/>
    </row>
    <row r="38" spans="1:7" ht="25.5" customHeight="1" x14ac:dyDescent="0.25">
      <c r="A38" s="10"/>
      <c r="B38" s="10"/>
      <c r="C38" s="10"/>
      <c r="D38" s="10"/>
      <c r="E38" s="10"/>
      <c r="F38" s="10"/>
      <c r="G38" s="12"/>
    </row>
    <row r="39" spans="1:7" ht="25.5" customHeight="1" x14ac:dyDescent="0.25">
      <c r="A39" s="10"/>
      <c r="B39" s="10"/>
      <c r="C39" s="10"/>
      <c r="D39" s="10"/>
      <c r="E39" s="10"/>
      <c r="F39" s="10"/>
      <c r="G39" s="12"/>
    </row>
    <row r="40" spans="1:7" ht="25.5" customHeight="1" x14ac:dyDescent="0.25">
      <c r="A40" s="10"/>
      <c r="B40" s="10"/>
      <c r="C40" s="10"/>
      <c r="D40" s="10"/>
      <c r="E40" s="10"/>
      <c r="F40" s="10"/>
      <c r="G40" s="12"/>
    </row>
    <row r="41" spans="1:7" ht="25.5" customHeight="1" x14ac:dyDescent="0.25">
      <c r="A41" s="10"/>
      <c r="B41" s="10"/>
      <c r="C41" s="10"/>
      <c r="D41" s="10"/>
      <c r="E41" s="10"/>
      <c r="F41" s="10"/>
      <c r="G41" s="12"/>
    </row>
    <row r="42" spans="1:7" ht="25.5" customHeight="1" x14ac:dyDescent="0.25">
      <c r="A42" s="10"/>
      <c r="B42" s="10"/>
      <c r="C42" s="10"/>
      <c r="D42" s="10"/>
      <c r="E42" s="10"/>
      <c r="F42" s="10"/>
      <c r="G42" s="12"/>
    </row>
  </sheetData>
  <conditionalFormatting sqref="D5:D7">
    <cfRule type="expression" dxfId="0" priority="2">
      <formula>AND(ISNUMBER(D5),D5&lt;=10)</formula>
    </cfRule>
  </conditionalFormatting>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4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8" customWidth="1"/>
    <col min="2" max="2" width="20" customWidth="1"/>
    <col min="3" max="3" width="28" customWidth="1"/>
    <col min="4" max="6" width="40" customWidth="1"/>
    <col min="7" max="7" width="14" customWidth="1"/>
    <col min="8" max="8" width="28" customWidth="1"/>
  </cols>
  <sheetData>
    <row r="1" spans="1:8" ht="19.5" x14ac:dyDescent="0.3">
      <c r="A1" s="7" t="s">
        <v>439</v>
      </c>
    </row>
    <row r="2" spans="1:8" x14ac:dyDescent="0.25">
      <c r="A2" s="8" t="s">
        <v>440</v>
      </c>
    </row>
    <row r="4" spans="1:8" ht="33.75" customHeight="1" x14ac:dyDescent="0.25">
      <c r="A4" s="13" t="s">
        <v>82</v>
      </c>
      <c r="B4" s="18" t="s">
        <v>441</v>
      </c>
      <c r="C4" s="18" t="s">
        <v>2</v>
      </c>
      <c r="D4" s="18" t="s">
        <v>442</v>
      </c>
      <c r="E4" s="18" t="s">
        <v>443</v>
      </c>
      <c r="F4" s="18" t="s">
        <v>444</v>
      </c>
      <c r="G4" s="18" t="s">
        <v>73</v>
      </c>
      <c r="H4" s="19" t="s">
        <v>88</v>
      </c>
    </row>
    <row r="5" spans="1:8" ht="33.75" customHeight="1" x14ac:dyDescent="0.25">
      <c r="A5" s="20" t="s">
        <v>445</v>
      </c>
      <c r="B5" s="10"/>
      <c r="C5" s="10"/>
      <c r="D5" s="10"/>
      <c r="E5" s="10"/>
      <c r="F5" s="10"/>
      <c r="G5" s="10"/>
      <c r="H5" s="12"/>
    </row>
    <row r="6" spans="1:8" ht="33.75" customHeight="1" x14ac:dyDescent="0.25">
      <c r="A6" s="20" t="s">
        <v>446</v>
      </c>
      <c r="B6" s="10"/>
      <c r="C6" s="10"/>
      <c r="D6" s="10"/>
      <c r="E6" s="10"/>
      <c r="F6" s="10"/>
      <c r="G6" s="10"/>
      <c r="H6" s="12"/>
    </row>
    <row r="7" spans="1:8" ht="33.75" customHeight="1" x14ac:dyDescent="0.25">
      <c r="A7" s="20" t="s">
        <v>447</v>
      </c>
      <c r="B7" s="10"/>
      <c r="C7" s="10"/>
      <c r="D7" s="10"/>
      <c r="E7" s="10"/>
      <c r="F7" s="10"/>
      <c r="G7" s="10"/>
      <c r="H7" s="12"/>
    </row>
    <row r="8" spans="1:8" ht="33.75" customHeight="1" x14ac:dyDescent="0.25">
      <c r="A8" s="20" t="s">
        <v>448</v>
      </c>
      <c r="B8" s="10"/>
      <c r="C8" s="10"/>
      <c r="D8" s="10"/>
      <c r="E8" s="10"/>
      <c r="F8" s="10"/>
      <c r="G8" s="10"/>
      <c r="H8" s="12"/>
    </row>
    <row r="9" spans="1:8" ht="33.75" customHeight="1" x14ac:dyDescent="0.25">
      <c r="A9" s="20" t="s">
        <v>449</v>
      </c>
      <c r="B9" s="10"/>
      <c r="C9" s="10"/>
      <c r="D9" s="10"/>
      <c r="E9" s="10"/>
      <c r="F9" s="10"/>
      <c r="G9" s="10"/>
      <c r="H9" s="12"/>
    </row>
    <row r="10" spans="1:8" ht="33.75" customHeight="1" x14ac:dyDescent="0.25">
      <c r="A10" s="20" t="s">
        <v>450</v>
      </c>
      <c r="B10" s="10"/>
      <c r="C10" s="10"/>
      <c r="D10" s="10"/>
      <c r="E10" s="10"/>
      <c r="F10" s="10"/>
      <c r="G10" s="10"/>
      <c r="H10" s="12"/>
    </row>
    <row r="11" spans="1:8" ht="33.75" customHeight="1" x14ac:dyDescent="0.25">
      <c r="A11" s="20" t="s">
        <v>451</v>
      </c>
      <c r="B11" s="10"/>
      <c r="C11" s="10"/>
      <c r="D11" s="10"/>
      <c r="E11" s="10"/>
      <c r="F11" s="10"/>
      <c r="G11" s="10"/>
      <c r="H11" s="12"/>
    </row>
    <row r="12" spans="1:8" ht="33.75" customHeight="1" x14ac:dyDescent="0.25">
      <c r="A12" s="20" t="s">
        <v>452</v>
      </c>
      <c r="B12" s="10"/>
      <c r="C12" s="10"/>
      <c r="D12" s="10"/>
      <c r="E12" s="10"/>
      <c r="F12" s="10"/>
      <c r="G12" s="10"/>
      <c r="H12" s="12"/>
    </row>
    <row r="13" spans="1:8" ht="33.75" customHeight="1" x14ac:dyDescent="0.25">
      <c r="A13" s="20" t="s">
        <v>453</v>
      </c>
      <c r="B13" s="10"/>
      <c r="C13" s="10"/>
      <c r="D13" s="10"/>
      <c r="E13" s="10"/>
      <c r="F13" s="10"/>
      <c r="G13" s="10"/>
      <c r="H13" s="12"/>
    </row>
    <row r="14" spans="1:8" ht="33.75" customHeight="1" x14ac:dyDescent="0.25">
      <c r="A14" s="20" t="s">
        <v>454</v>
      </c>
      <c r="B14" s="10"/>
      <c r="C14" s="10"/>
      <c r="D14" s="10"/>
      <c r="E14" s="10"/>
      <c r="F14" s="10"/>
      <c r="G14" s="10"/>
      <c r="H14" s="12"/>
    </row>
    <row r="15" spans="1:8" ht="33.75" customHeight="1" x14ac:dyDescent="0.25">
      <c r="A15" s="20" t="s">
        <v>455</v>
      </c>
      <c r="B15" s="10"/>
      <c r="C15" s="10"/>
      <c r="D15" s="10"/>
      <c r="E15" s="10"/>
      <c r="F15" s="10"/>
      <c r="G15" s="10"/>
      <c r="H15" s="12"/>
    </row>
    <row r="16" spans="1:8" ht="33.75" customHeight="1" x14ac:dyDescent="0.25">
      <c r="A16" s="20" t="s">
        <v>456</v>
      </c>
      <c r="B16" s="10"/>
      <c r="C16" s="10"/>
      <c r="D16" s="10"/>
      <c r="E16" s="10"/>
      <c r="F16" s="10"/>
      <c r="G16" s="10"/>
      <c r="H16" s="12"/>
    </row>
    <row r="17" spans="1:8" ht="33.75" customHeight="1" x14ac:dyDescent="0.25">
      <c r="A17" s="20" t="s">
        <v>457</v>
      </c>
      <c r="B17" s="10"/>
      <c r="C17" s="10"/>
      <c r="D17" s="10"/>
      <c r="E17" s="10"/>
      <c r="F17" s="10"/>
      <c r="G17" s="10"/>
      <c r="H17" s="12"/>
    </row>
    <row r="18" spans="1:8" ht="33.75" customHeight="1" x14ac:dyDescent="0.25">
      <c r="A18" s="20" t="s">
        <v>458</v>
      </c>
      <c r="B18" s="10"/>
      <c r="C18" s="10"/>
      <c r="D18" s="10"/>
      <c r="E18" s="10"/>
      <c r="F18" s="10"/>
      <c r="G18" s="10"/>
      <c r="H18" s="12"/>
    </row>
    <row r="19" spans="1:8" ht="33.75" customHeight="1" x14ac:dyDescent="0.25">
      <c r="A19" s="20" t="s">
        <v>459</v>
      </c>
      <c r="B19" s="10"/>
      <c r="C19" s="10"/>
      <c r="D19" s="10"/>
      <c r="E19" s="10"/>
      <c r="F19" s="10"/>
      <c r="G19" s="10"/>
      <c r="H19" s="12"/>
    </row>
    <row r="20" spans="1:8" ht="33.75" customHeight="1" x14ac:dyDescent="0.25">
      <c r="A20" s="20" t="s">
        <v>460</v>
      </c>
      <c r="B20" s="10"/>
      <c r="C20" s="10"/>
      <c r="D20" s="10"/>
      <c r="E20" s="10"/>
      <c r="F20" s="10"/>
      <c r="G20" s="10"/>
      <c r="H20" s="12"/>
    </row>
    <row r="21" spans="1:8" ht="33.75" customHeight="1" x14ac:dyDescent="0.25">
      <c r="A21" s="20" t="s">
        <v>461</v>
      </c>
      <c r="B21" s="10"/>
      <c r="C21" s="10"/>
      <c r="D21" s="10"/>
      <c r="E21" s="10"/>
      <c r="F21" s="10"/>
      <c r="G21" s="10"/>
      <c r="H21" s="12"/>
    </row>
    <row r="22" spans="1:8" ht="33.75" customHeight="1" x14ac:dyDescent="0.25">
      <c r="A22" s="20" t="s">
        <v>462</v>
      </c>
      <c r="B22" s="10"/>
      <c r="C22" s="10"/>
      <c r="D22" s="10"/>
      <c r="E22" s="10"/>
      <c r="F22" s="10"/>
      <c r="G22" s="10"/>
      <c r="H22" s="12"/>
    </row>
    <row r="23" spans="1:8" ht="33.75" customHeight="1" x14ac:dyDescent="0.25">
      <c r="A23" s="20" t="s">
        <v>463</v>
      </c>
      <c r="B23" s="10"/>
      <c r="C23" s="10"/>
      <c r="D23" s="10"/>
      <c r="E23" s="10"/>
      <c r="F23" s="10"/>
      <c r="G23" s="10"/>
      <c r="H23" s="12"/>
    </row>
    <row r="24" spans="1:8" ht="33.75" customHeight="1" x14ac:dyDescent="0.25">
      <c r="A24" s="20" t="s">
        <v>464</v>
      </c>
      <c r="B24" s="10"/>
      <c r="C24" s="10"/>
      <c r="D24" s="10"/>
      <c r="E24" s="10"/>
      <c r="F24" s="10"/>
      <c r="G24" s="10"/>
      <c r="H24" s="12"/>
    </row>
    <row r="25" spans="1:8" ht="33.75" customHeight="1" x14ac:dyDescent="0.25">
      <c r="A25" s="20" t="s">
        <v>465</v>
      </c>
      <c r="B25" s="10"/>
      <c r="C25" s="10"/>
      <c r="D25" s="10"/>
      <c r="E25" s="10"/>
      <c r="F25" s="10"/>
      <c r="G25" s="10"/>
      <c r="H25" s="12"/>
    </row>
    <row r="26" spans="1:8" ht="33.75" customHeight="1" x14ac:dyDescent="0.25">
      <c r="A26" s="20" t="s">
        <v>466</v>
      </c>
      <c r="B26" s="10"/>
      <c r="C26" s="10"/>
      <c r="D26" s="10"/>
      <c r="E26" s="10"/>
      <c r="F26" s="10"/>
      <c r="G26" s="10"/>
      <c r="H26" s="12"/>
    </row>
    <row r="27" spans="1:8" ht="33.75" customHeight="1" x14ac:dyDescent="0.25">
      <c r="A27" s="20" t="s">
        <v>467</v>
      </c>
      <c r="B27" s="10"/>
      <c r="C27" s="10"/>
      <c r="D27" s="10"/>
      <c r="E27" s="10"/>
      <c r="F27" s="10"/>
      <c r="G27" s="10"/>
      <c r="H27" s="12"/>
    </row>
    <row r="28" spans="1:8" ht="33.75" customHeight="1" x14ac:dyDescent="0.25">
      <c r="A28" s="20" t="s">
        <v>468</v>
      </c>
      <c r="B28" s="10"/>
      <c r="C28" s="10"/>
      <c r="D28" s="10"/>
      <c r="E28" s="10"/>
      <c r="F28" s="10"/>
      <c r="G28" s="10"/>
      <c r="H28" s="12"/>
    </row>
    <row r="29" spans="1:8" ht="33.75" customHeight="1" x14ac:dyDescent="0.25">
      <c r="A29" s="20" t="s">
        <v>469</v>
      </c>
      <c r="B29" s="10"/>
      <c r="C29" s="10"/>
      <c r="D29" s="10"/>
      <c r="E29" s="10"/>
      <c r="F29" s="10"/>
      <c r="G29" s="10"/>
      <c r="H29" s="12"/>
    </row>
    <row r="30" spans="1:8" ht="33.75" customHeight="1" x14ac:dyDescent="0.25">
      <c r="A30" s="20" t="s">
        <v>470</v>
      </c>
      <c r="B30" s="10"/>
      <c r="C30" s="10"/>
      <c r="D30" s="10"/>
      <c r="E30" s="10"/>
      <c r="F30" s="10"/>
      <c r="G30" s="10"/>
      <c r="H30" s="12"/>
    </row>
    <row r="31" spans="1:8" ht="33.75" customHeight="1" x14ac:dyDescent="0.25">
      <c r="A31" s="20" t="s">
        <v>471</v>
      </c>
      <c r="B31" s="10"/>
      <c r="C31" s="10"/>
      <c r="D31" s="10"/>
      <c r="E31" s="10"/>
      <c r="F31" s="10"/>
      <c r="G31" s="10"/>
      <c r="H31" s="12"/>
    </row>
    <row r="32" spans="1:8" ht="33.75" customHeight="1" x14ac:dyDescent="0.25">
      <c r="A32" s="20" t="s">
        <v>472</v>
      </c>
      <c r="B32" s="10"/>
      <c r="C32" s="10"/>
      <c r="D32" s="10"/>
      <c r="E32" s="10"/>
      <c r="F32" s="10"/>
      <c r="G32" s="10"/>
      <c r="H32" s="12"/>
    </row>
    <row r="33" spans="1:8" ht="33.75" customHeight="1" x14ac:dyDescent="0.25">
      <c r="A33" s="20" t="s">
        <v>473</v>
      </c>
      <c r="B33" s="10"/>
      <c r="C33" s="10"/>
      <c r="D33" s="10"/>
      <c r="E33" s="10"/>
      <c r="F33" s="10"/>
      <c r="G33" s="10"/>
      <c r="H33" s="12"/>
    </row>
    <row r="34" spans="1:8" ht="33.75" customHeight="1" x14ac:dyDescent="0.25">
      <c r="A34" s="20" t="s">
        <v>474</v>
      </c>
      <c r="B34" s="10"/>
      <c r="C34" s="10"/>
      <c r="D34" s="10"/>
      <c r="E34" s="10"/>
      <c r="F34" s="10"/>
      <c r="G34" s="10"/>
      <c r="H34" s="12"/>
    </row>
    <row r="35" spans="1:8" ht="33.75" customHeight="1" x14ac:dyDescent="0.25">
      <c r="A35" s="20" t="s">
        <v>475</v>
      </c>
      <c r="B35" s="10"/>
      <c r="C35" s="10"/>
      <c r="D35" s="10"/>
      <c r="E35" s="10"/>
      <c r="F35" s="10"/>
      <c r="G35" s="10"/>
      <c r="H35" s="12"/>
    </row>
    <row r="36" spans="1:8" ht="33.75" customHeight="1" x14ac:dyDescent="0.25">
      <c r="A36" s="20" t="s">
        <v>476</v>
      </c>
      <c r="B36" s="10"/>
      <c r="C36" s="10"/>
      <c r="D36" s="10"/>
      <c r="E36" s="10"/>
      <c r="F36" s="10"/>
      <c r="G36" s="10"/>
      <c r="H36" s="12"/>
    </row>
    <row r="37" spans="1:8" ht="33.75" customHeight="1" x14ac:dyDescent="0.25">
      <c r="A37" s="20" t="s">
        <v>477</v>
      </c>
      <c r="B37" s="10"/>
      <c r="C37" s="10"/>
      <c r="D37" s="10"/>
      <c r="E37" s="10"/>
      <c r="F37" s="10"/>
      <c r="G37" s="10"/>
      <c r="H37" s="12"/>
    </row>
    <row r="38" spans="1:8" ht="33.75" customHeight="1" x14ac:dyDescent="0.25">
      <c r="A38" s="20" t="s">
        <v>478</v>
      </c>
      <c r="B38" s="10"/>
      <c r="C38" s="10"/>
      <c r="D38" s="10"/>
      <c r="E38" s="10"/>
      <c r="F38" s="10"/>
      <c r="G38" s="10"/>
      <c r="H38" s="12"/>
    </row>
    <row r="39" spans="1:8" ht="33.75" customHeight="1" x14ac:dyDescent="0.25">
      <c r="A39" s="20" t="s">
        <v>479</v>
      </c>
      <c r="B39" s="10"/>
      <c r="C39" s="10"/>
      <c r="D39" s="10"/>
      <c r="E39" s="10"/>
      <c r="F39" s="10"/>
      <c r="G39" s="10"/>
      <c r="H39" s="12"/>
    </row>
    <row r="40" spans="1:8" ht="33.75" customHeight="1" x14ac:dyDescent="0.25">
      <c r="A40" s="20" t="s">
        <v>480</v>
      </c>
      <c r="B40" s="10"/>
      <c r="C40" s="10"/>
      <c r="D40" s="10"/>
      <c r="E40" s="10"/>
      <c r="F40" s="10"/>
      <c r="G40" s="10"/>
      <c r="H40" s="12"/>
    </row>
    <row r="41" spans="1:8" ht="33.75" customHeight="1" x14ac:dyDescent="0.25">
      <c r="A41" s="20" t="s">
        <v>481</v>
      </c>
      <c r="B41" s="10"/>
      <c r="C41" s="10"/>
      <c r="D41" s="10"/>
      <c r="E41" s="10"/>
      <c r="F41" s="10"/>
      <c r="G41" s="10"/>
      <c r="H41" s="12"/>
    </row>
    <row r="42" spans="1:8" ht="33.75" customHeight="1" x14ac:dyDescent="0.25">
      <c r="A42" s="20" t="s">
        <v>482</v>
      </c>
      <c r="B42" s="10"/>
      <c r="C42" s="10"/>
      <c r="D42" s="10"/>
      <c r="E42" s="10"/>
      <c r="F42" s="10"/>
      <c r="G42" s="10"/>
      <c r="H42" s="12"/>
    </row>
    <row r="43" spans="1:8" ht="33.75" customHeight="1" x14ac:dyDescent="0.25">
      <c r="A43" s="20" t="s">
        <v>483</v>
      </c>
      <c r="B43" s="10"/>
      <c r="C43" s="10"/>
      <c r="D43" s="10"/>
      <c r="E43" s="10"/>
      <c r="F43" s="10"/>
      <c r="G43" s="10"/>
      <c r="H43" s="12"/>
    </row>
    <row r="44" spans="1:8" ht="33.75" customHeight="1" x14ac:dyDescent="0.25">
      <c r="A44" s="20" t="s">
        <v>484</v>
      </c>
      <c r="B44" s="10"/>
      <c r="C44" s="10"/>
      <c r="D44" s="10"/>
      <c r="E44" s="10"/>
      <c r="F44" s="10"/>
      <c r="G44" s="10"/>
      <c r="H44" s="12"/>
    </row>
  </sheetData>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9"/>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22" customWidth="1"/>
    <col min="2" max="3" width="46" customWidth="1"/>
    <col min="4" max="4" width="22" customWidth="1"/>
    <col min="5" max="5" width="12" customWidth="1"/>
    <col min="6" max="6" width="34" customWidth="1"/>
  </cols>
  <sheetData>
    <row r="1" spans="1:6" ht="19.5" x14ac:dyDescent="0.3">
      <c r="A1" s="7" t="s">
        <v>60</v>
      </c>
    </row>
    <row r="2" spans="1:6" x14ac:dyDescent="0.25">
      <c r="A2" s="8" t="s">
        <v>485</v>
      </c>
    </row>
    <row r="4" spans="1:6" ht="33.75" customHeight="1" x14ac:dyDescent="0.25">
      <c r="A4" s="18" t="s">
        <v>486</v>
      </c>
      <c r="B4" s="18" t="s">
        <v>487</v>
      </c>
      <c r="C4" s="18" t="s">
        <v>488</v>
      </c>
      <c r="D4" s="18" t="s">
        <v>489</v>
      </c>
      <c r="E4" s="18" t="s">
        <v>490</v>
      </c>
      <c r="F4" s="19" t="s">
        <v>88</v>
      </c>
    </row>
    <row r="5" spans="1:6" ht="36" customHeight="1" x14ac:dyDescent="0.25">
      <c r="A5" s="10"/>
      <c r="B5" s="10"/>
      <c r="C5" s="10"/>
      <c r="D5" s="10"/>
      <c r="E5" s="10"/>
      <c r="F5" s="12"/>
    </row>
    <row r="6" spans="1:6" ht="36" customHeight="1" x14ac:dyDescent="0.25">
      <c r="A6" s="10"/>
      <c r="B6" s="10"/>
      <c r="C6" s="10"/>
      <c r="D6" s="10"/>
      <c r="E6" s="10"/>
      <c r="F6" s="12"/>
    </row>
    <row r="7" spans="1:6" ht="36" customHeight="1" x14ac:dyDescent="0.25">
      <c r="A7" s="10"/>
      <c r="B7" s="10"/>
      <c r="C7" s="10"/>
      <c r="D7" s="10"/>
      <c r="E7" s="10"/>
      <c r="F7" s="12"/>
    </row>
    <row r="8" spans="1:6" ht="36" customHeight="1" x14ac:dyDescent="0.25">
      <c r="A8" s="10"/>
      <c r="B8" s="10"/>
      <c r="C8" s="10"/>
      <c r="D8" s="10"/>
      <c r="E8" s="10"/>
      <c r="F8" s="12"/>
    </row>
    <row r="9" spans="1:6" ht="36" customHeight="1" x14ac:dyDescent="0.25">
      <c r="A9" s="10"/>
      <c r="B9" s="10"/>
      <c r="C9" s="10"/>
      <c r="D9" s="10"/>
      <c r="E9" s="10"/>
      <c r="F9" s="12"/>
    </row>
    <row r="10" spans="1:6" ht="36" customHeight="1" x14ac:dyDescent="0.25">
      <c r="A10" s="10"/>
      <c r="B10" s="10"/>
      <c r="C10" s="10"/>
      <c r="D10" s="10"/>
      <c r="E10" s="10"/>
      <c r="F10" s="12"/>
    </row>
    <row r="11" spans="1:6" ht="36" customHeight="1" x14ac:dyDescent="0.25">
      <c r="A11" s="10"/>
      <c r="B11" s="10"/>
      <c r="C11" s="10"/>
      <c r="D11" s="10"/>
      <c r="E11" s="10"/>
      <c r="F11" s="12"/>
    </row>
    <row r="12" spans="1:6" ht="36" customHeight="1" x14ac:dyDescent="0.25">
      <c r="A12" s="10"/>
      <c r="B12" s="10"/>
      <c r="C12" s="10"/>
      <c r="D12" s="10"/>
      <c r="E12" s="10"/>
      <c r="F12" s="12"/>
    </row>
    <row r="13" spans="1:6" ht="36" customHeight="1" x14ac:dyDescent="0.25">
      <c r="A13" s="10"/>
      <c r="B13" s="10"/>
      <c r="C13" s="10"/>
      <c r="D13" s="10"/>
      <c r="E13" s="10"/>
      <c r="F13" s="12"/>
    </row>
    <row r="14" spans="1:6" ht="36" customHeight="1" x14ac:dyDescent="0.25">
      <c r="A14" s="10"/>
      <c r="B14" s="10"/>
      <c r="C14" s="10"/>
      <c r="D14" s="10"/>
      <c r="E14" s="10"/>
      <c r="F14" s="12"/>
    </row>
    <row r="15" spans="1:6" ht="36" customHeight="1" x14ac:dyDescent="0.25">
      <c r="A15" s="10"/>
      <c r="B15" s="10"/>
      <c r="C15" s="10"/>
      <c r="D15" s="10"/>
      <c r="E15" s="10"/>
      <c r="F15" s="12"/>
    </row>
    <row r="16" spans="1:6" ht="36" customHeight="1" x14ac:dyDescent="0.25">
      <c r="A16" s="10"/>
      <c r="B16" s="10"/>
      <c r="C16" s="10"/>
      <c r="D16" s="10"/>
      <c r="E16" s="10"/>
      <c r="F16" s="12"/>
    </row>
    <row r="17" spans="1:6" ht="36" customHeight="1" x14ac:dyDescent="0.25">
      <c r="A17" s="10"/>
      <c r="B17" s="10"/>
      <c r="C17" s="10"/>
      <c r="D17" s="10"/>
      <c r="E17" s="10"/>
      <c r="F17" s="12"/>
    </row>
    <row r="18" spans="1:6" ht="36" customHeight="1" x14ac:dyDescent="0.25">
      <c r="A18" s="10"/>
      <c r="B18" s="10"/>
      <c r="C18" s="10"/>
      <c r="D18" s="10"/>
      <c r="E18" s="10"/>
      <c r="F18" s="12"/>
    </row>
    <row r="19" spans="1:6" ht="36" customHeight="1" x14ac:dyDescent="0.25">
      <c r="A19" s="10"/>
      <c r="B19" s="10"/>
      <c r="C19" s="10"/>
      <c r="D19" s="10"/>
      <c r="E19" s="10"/>
      <c r="F19" s="12"/>
    </row>
    <row r="20" spans="1:6" ht="36" customHeight="1" x14ac:dyDescent="0.25">
      <c r="A20" s="10"/>
      <c r="B20" s="10"/>
      <c r="C20" s="10"/>
      <c r="D20" s="10"/>
      <c r="E20" s="10"/>
      <c r="F20" s="12"/>
    </row>
    <row r="21" spans="1:6" ht="36" customHeight="1" x14ac:dyDescent="0.25">
      <c r="A21" s="10"/>
      <c r="B21" s="10"/>
      <c r="C21" s="10"/>
      <c r="D21" s="10"/>
      <c r="E21" s="10"/>
      <c r="F21" s="12"/>
    </row>
    <row r="22" spans="1:6" ht="36" customHeight="1" x14ac:dyDescent="0.25">
      <c r="A22" s="10"/>
      <c r="B22" s="10"/>
      <c r="C22" s="10"/>
      <c r="D22" s="10"/>
      <c r="E22" s="10"/>
      <c r="F22" s="12"/>
    </row>
    <row r="23" spans="1:6" ht="36" customHeight="1" x14ac:dyDescent="0.25">
      <c r="A23" s="10"/>
      <c r="B23" s="10"/>
      <c r="C23" s="10"/>
      <c r="D23" s="10"/>
      <c r="E23" s="10"/>
      <c r="F23" s="12"/>
    </row>
    <row r="24" spans="1:6" ht="36" customHeight="1" x14ac:dyDescent="0.25">
      <c r="A24" s="10"/>
      <c r="B24" s="10"/>
      <c r="C24" s="10"/>
      <c r="D24" s="10"/>
      <c r="E24" s="10"/>
      <c r="F24" s="12"/>
    </row>
    <row r="25" spans="1:6" ht="36" customHeight="1" x14ac:dyDescent="0.25">
      <c r="A25" s="10"/>
      <c r="B25" s="10"/>
      <c r="C25" s="10"/>
      <c r="D25" s="10"/>
      <c r="E25" s="10"/>
      <c r="F25" s="12"/>
    </row>
    <row r="26" spans="1:6" ht="36" customHeight="1" x14ac:dyDescent="0.25">
      <c r="A26" s="10"/>
      <c r="B26" s="10"/>
      <c r="C26" s="10"/>
      <c r="D26" s="10"/>
      <c r="E26" s="10"/>
      <c r="F26" s="12"/>
    </row>
    <row r="27" spans="1:6" ht="36" customHeight="1" x14ac:dyDescent="0.25">
      <c r="A27" s="10"/>
      <c r="B27" s="10"/>
      <c r="C27" s="10"/>
      <c r="D27" s="10"/>
      <c r="E27" s="10"/>
      <c r="F27" s="12"/>
    </row>
    <row r="28" spans="1:6" ht="36" customHeight="1" x14ac:dyDescent="0.25">
      <c r="A28" s="10"/>
      <c r="B28" s="10"/>
      <c r="C28" s="10"/>
      <c r="D28" s="10"/>
      <c r="E28" s="10"/>
      <c r="F28" s="12"/>
    </row>
    <row r="29" spans="1:6" ht="36" customHeight="1" x14ac:dyDescent="0.25">
      <c r="A29" s="10"/>
      <c r="B29" s="10"/>
      <c r="C29" s="10"/>
      <c r="D29" s="10"/>
      <c r="E29" s="10"/>
      <c r="F29" s="12"/>
    </row>
  </sheetData>
  <dataValidations count="2">
    <dataValidation type="list" allowBlank="1" showErrorMessage="1" error="Choose a value from the list." sqref="A5:A29" xr:uid="{00000000-0002-0000-0D00-000000000000}">
      <formula1>"Presentation 1,Part 1 marking,Presentation 2,Part 2 marking,Week 5 checkpoint,Presentation 3,Other"</formula1>
      <formula2>0</formula2>
    </dataValidation>
    <dataValidation type="list" allowBlank="1" showErrorMessage="1" error="Choose a value from the list." sqref="E5:E29" xr:uid="{00000000-0002-0000-0D00-000001000000}">
      <formula1>"Yes,No,Partly"</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Team &amp; Tier</vt:lpstr>
      <vt:lpstr>Ambiguity Log</vt:lpstr>
      <vt:lpstr>Requirements</vt:lpstr>
      <vt:lpstr>Plan &amp; Risks</vt:lpstr>
      <vt:lpstr>EP-BVA Planner</vt:lpstr>
      <vt:lpstr>Test Cases</vt:lpstr>
      <vt:lpstr>State Tests</vt:lpstr>
      <vt:lpstr>RTM</vt:lpstr>
      <vt:lpstr>Change Request</vt:lpstr>
      <vt:lpstr>Tier Checklist</vt:lpstr>
      <vt:lpstr>Contribution &amp; Commits</vt:lpstr>
      <vt:lpstr>AI Usage Log</vt:lpstr>
      <vt:lpstr>Feedback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Ky-Trung Pham</dc:creator>
  <dc:description/>
  <cp:lastModifiedBy>Trung Pham Thai Ky</cp:lastModifiedBy>
  <cp:revision>0</cp:revision>
  <dcterms:created xsi:type="dcterms:W3CDTF">2026-10-20T16:16:48Z</dcterms:created>
  <dcterms:modified xsi:type="dcterms:W3CDTF">2026-10-20T16:20:20Z</dcterms:modified>
  <dc:language>en-US</dc:language>
</cp:coreProperties>
</file>