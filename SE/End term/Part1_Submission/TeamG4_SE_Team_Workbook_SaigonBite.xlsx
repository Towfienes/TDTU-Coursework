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am &amp; Tier" sheetId="2" state="visible" r:id="rId4"/>
    <sheet name="Ambiguity Log" sheetId="3" state="visible" r:id="rId5"/>
    <sheet name="Requirements" sheetId="4" state="visible" r:id="rId6"/>
    <sheet name="Plan &amp; Risks" sheetId="5" state="visible" r:id="rId7"/>
    <sheet name="EP-BVA Planner" sheetId="6" state="visible" r:id="rId8"/>
    <sheet name="Test Cases" sheetId="7" state="visible" r:id="rId9"/>
    <sheet name="State Tests" sheetId="8" state="visible" r:id="rId10"/>
    <sheet name="RTM" sheetId="9" state="visible" r:id="rId11"/>
    <sheet name="Change Request" sheetId="10" state="visible" r:id="rId12"/>
    <sheet name="Tier Checklist" sheetId="11" state="visible" r:id="rId13"/>
    <sheet name="Contribution &amp; Commits" sheetId="12" state="visible" r:id="rId14"/>
    <sheet name="AI Usage Log" sheetId="13" state="visible" r:id="rId15"/>
    <sheet name="Feedback Log" sheetId="14" state="visible" r:id="rId1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<sst xmlns="http://schemas.openxmlformats.org/spreadsheetml/2006/main" count="1582" uniqueCount="981">
  <si>
    <t xml:space="preserve">SE Team Workbook</t>
  </si>
  <si>
    <t xml:space="preserve">Introduction to Software Engineering  |  Sem01_2627  |  One workbook per team, kept in your shared Google Drive folder</t>
  </si>
  <si>
    <t xml:space="preserve">Purpose</t>
  </si>
  <si>
    <t xml:space="preserve">This workbook is your team's working record for the whole 7-week project. It holds your Ambiguity Log and questions to the instructor, the requirements, the plan, the Requirements Traceability Matrix (RTM), your test cases and the other tables the project asks for. Keep it in your team's shared Google Drive folder (share it with the instructor). The instructor reads it and replies in the green cells. It does not replace the official submission on eLearning.</t>
  </si>
  <si>
    <t xml:space="preserve">How the Ambiguity Log and questions work</t>
  </si>
  <si>
    <t xml:space="preserve">1. The specification deliberately leaves details open (for example how a shipper is chosen, or what is refunded after a failed delivery). Record each gap in the Ambiguity Log sheet, with the assumption your team would make if nobody answers.</t>
  </si>
  <si>
    <t xml:space="preserve">2. Discuss each one as a team first. If you want the instructor's view, set its status to "Asked". Do not ask what the specification already answers.</t>
  </si>
  <si>
    <t xml:space="preserve">3. The instructor answers in the green cells. Copy the final decision into the "Final decision" column and use it in your requirements, design and tests.</t>
  </si>
  <si>
    <t xml:space="preserve">4. You need at least 3 ambiguities in your Part 1 document. Unrecorded assumptions are not accepted as an excuse for a missing requirement.</t>
  </si>
  <si>
    <t xml:space="preserve">Colour legend</t>
  </si>
  <si>
    <t xml:space="preserve">Student input</t>
  </si>
  <si>
    <t xml:space="preserve">Yellow fill, blue text</t>
  </si>
  <si>
    <t xml:space="preserve">Instructor input</t>
  </si>
  <si>
    <t xml:space="preserve">Green fill, blue text</t>
  </si>
  <si>
    <t xml:space="preserve">Calculated / fixed</t>
  </si>
  <si>
    <t xml:space="preserve">Black text, no fill</t>
  </si>
  <si>
    <t xml:space="preserve">Sheets in this workbook</t>
  </si>
  <si>
    <t xml:space="preserve">Sheet</t>
  </si>
  <si>
    <t xml:space="preserve">Project requirement it supports</t>
  </si>
  <si>
    <t xml:space="preserve">Used in</t>
  </si>
  <si>
    <t xml:space="preserve">Fill in</t>
  </si>
  <si>
    <t xml:space="preserve">Team &amp; Tier</t>
  </si>
  <si>
    <t xml:space="preserve">Team, chosen tier and cap, at least one main use case (CRUD) per student</t>
  </si>
  <si>
    <t xml:space="preserve">Part 1</t>
  </si>
  <si>
    <t xml:space="preserve">Week 1</t>
  </si>
  <si>
    <t xml:space="preserve">Ambiguity Log</t>
  </si>
  <si>
    <t xml:space="preserve">At least 3 ambiguities with assumptions and instructor answers</t>
  </si>
  <si>
    <t xml:space="preserve">Week 1-2 and later</t>
  </si>
  <si>
    <t xml:space="preserve">Requirements</t>
  </si>
  <si>
    <t xml:space="preserve">FRs and NFRs with IDs, mapped to use cases, BRs and reports; measurable NFRs</t>
  </si>
  <si>
    <t xml:space="preserve">Part 1; RTM</t>
  </si>
  <si>
    <t xml:space="preserve">Part 1 on</t>
  </si>
  <si>
    <t xml:space="preserve">Plan &amp; Risks</t>
  </si>
  <si>
    <t xml:space="preserve">7-week plan, task board and risk list</t>
  </si>
  <si>
    <t xml:space="preserve">Part 1 proposal</t>
  </si>
  <si>
    <t xml:space="preserve">Throughout</t>
  </si>
  <si>
    <t xml:space="preserve">EP-BVA Planner</t>
  </si>
  <si>
    <t xml:space="preserve">Partitions and boundary values for every threshold (BR1 to BR12, BR14); at least 20 test cases</t>
  </si>
  <si>
    <t xml:space="preserve">Part 3 QA report</t>
  </si>
  <si>
    <t xml:space="preserve">Part 2 to 3</t>
  </si>
  <si>
    <t xml:space="preserve">Test Cases</t>
  </si>
  <si>
    <t xml:space="preserve">Test plan: ID, input, expected, actual, pass/fail, FR and BR IDs</t>
  </si>
  <si>
    <t xml:space="preserve">Part 3</t>
  </si>
  <si>
    <t xml:space="preserve">State Tests</t>
  </si>
  <si>
    <t xml:space="preserve">Valid transition coverage and at least 5 invalid order-state transition tests (BR15)</t>
  </si>
  <si>
    <t xml:space="preserve">RTM</t>
  </si>
  <si>
    <t xml:space="preserve">Every FR and NFR linked to use case, design, code and tests, with verdict</t>
  </si>
  <si>
    <t xml:space="preserve">Change Request</t>
  </si>
  <si>
    <t xml:space="preserve">One-page Change Request Impact Note and the class change list</t>
  </si>
  <si>
    <t xml:space="preserve">Part 3 (Week 5)</t>
  </si>
  <si>
    <t xml:space="preserve">Week 5</t>
  </si>
  <si>
    <t xml:space="preserve">Tier Checklist</t>
  </si>
  <si>
    <t xml:space="preserve">Checks that you really deliver the stack, architecture and extras of your tier</t>
  </si>
  <si>
    <t xml:space="preserve">Part 1 to 3</t>
  </si>
  <si>
    <t xml:space="preserve">Contribution &amp; Commits</t>
  </si>
  <si>
    <t xml:space="preserve">Contribution Statement draft and commits per student (more than 10)</t>
  </si>
  <si>
    <t xml:space="preserve">Part 3; contribution factor</t>
  </si>
  <si>
    <t xml:space="preserve">AI Usage Log</t>
  </si>
  <si>
    <t xml:space="preserve">Generative AI Usage Log, one row per use</t>
  </si>
  <si>
    <t xml:space="preserve">Appendix</t>
  </si>
  <si>
    <t xml:space="preserve">Feedback Log</t>
  </si>
  <si>
    <t xml:space="preserve">Feedback from each presentation and marking, and what you changed</t>
  </si>
  <si>
    <t xml:space="preserve">Final report</t>
  </si>
  <si>
    <t xml:space="preserve">After each feedback</t>
  </si>
  <si>
    <t xml:space="preserve">Team, Tier and Use Case Ownership</t>
  </si>
  <si>
    <t xml:space="preserve">Each student owns at least one main use case with complete CRUD. "Place and Manage Orders" must be owned by one team member.</t>
  </si>
  <si>
    <t xml:space="preserve">Team name</t>
  </si>
  <si>
    <t xml:space="preserve">TeamG4</t>
  </si>
  <si>
    <t xml:space="preserve">Chosen tier</t>
  </si>
  <si>
    <t xml:space="preserve">Tier 4</t>
  </si>
  <si>
    <t xml:space="preserve">Tier cap (/10)</t>
  </si>
  <si>
    <t xml:space="preserve">Instructor confirmed tier</t>
  </si>
  <si>
    <t xml:space="preserve">Team size</t>
  </si>
  <si>
    <t xml:space="preserve">Member</t>
  </si>
  <si>
    <t xml:space="preserve">Name</t>
  </si>
  <si>
    <t xml:space="preserve">Student ID</t>
  </si>
  <si>
    <t xml:space="preserve">Role</t>
  </si>
  <si>
    <t xml:space="preserve">Main use cases owned</t>
  </si>
  <si>
    <t xml:space="preserve">Commits (see Contribution sheet)</t>
  </si>
  <si>
    <t xml:space="preserve">Check</t>
  </si>
  <si>
    <t xml:space="preserve">Member 1</t>
  </si>
  <si>
    <t xml:space="preserve">Ngô Lâm Tiến</t>
  </si>
  <si>
    <t xml:space="preserve">524H0195</t>
  </si>
  <si>
    <t xml:space="preserve">D owner: Place and Manage Orders. Planned peer reviewer: 524H0179.</t>
  </si>
  <si>
    <t xml:space="preserve">Member 2</t>
  </si>
  <si>
    <t xml:space="preserve">Nguyễn Công Thành</t>
  </si>
  <si>
    <t xml:space="preserve">524H0191</t>
  </si>
  <si>
    <t xml:space="preserve">A owner: Manage Menu &amp; Brands. Planned peer reviewer: 524H0195.</t>
  </si>
  <si>
    <t xml:space="preserve">Member 3</t>
  </si>
  <si>
    <t xml:space="preserve">Nguyễn Trọng Phú</t>
  </si>
  <si>
    <t xml:space="preserve">524H0179</t>
  </si>
  <si>
    <t xml:space="preserve">B owner: Manage Hubs &amp; Capacity. Planned peer reviewer: 524H0191.</t>
  </si>
  <si>
    <t xml:space="preserve">Main use cases (candidate list A to F in the specification, or your own approved proposal)</t>
  </si>
  <si>
    <t xml:space="preserve">No.</t>
  </si>
  <si>
    <t xml:space="preserve">Use case</t>
  </si>
  <si>
    <t xml:space="preserve">Spec item</t>
  </si>
  <si>
    <t xml:space="preserve">CRUD meaning</t>
  </si>
  <si>
    <t xml:space="preserve">Status</t>
  </si>
  <si>
    <t xml:space="preserve">Owner (student ID)</t>
  </si>
  <si>
    <t xml:space="preserve">Instructor comment</t>
  </si>
  <si>
    <t xml:space="preserve">UC1</t>
  </si>
  <si>
    <t xml:space="preserve">Place and Manage Orders</t>
  </si>
  <si>
    <t xml:space="preserve">D</t>
  </si>
  <si>
    <t xml:space="preserve">Create; track/read; edit in Placed; cancel in Placed/Confirmed (retain history).</t>
  </si>
  <si>
    <t xml:space="preserve">Idea</t>
  </si>
  <si>
    <t xml:space="preserve">UC2</t>
  </si>
  <si>
    <t xml:space="preserve">Manage Menu &amp; Brands</t>
  </si>
  <si>
    <t xml:space="preserve">A</t>
  </si>
  <si>
    <t xml:space="preserve">Create; browse/filter; update details/availability; soft-delete.</t>
  </si>
  <si>
    <t xml:space="preserve">UC3</t>
  </si>
  <si>
    <t xml:space="preserve">Manage Hubs &amp; Capacity</t>
  </si>
  <si>
    <t xml:space="preserve">B</t>
  </si>
  <si>
    <t xml:space="preserve">Create; view load; update address/capacity; soft-delete.</t>
  </si>
  <si>
    <t xml:space="preserve">UC4</t>
  </si>
  <si>
    <t xml:space="preserve">Manage Vouchers</t>
  </si>
  <si>
    <t xml:space="preserve">C</t>
  </si>
  <si>
    <t xml:space="preserve">Create; read; edit; deactivate vouchers. Secondary scope.</t>
  </si>
  <si>
    <t xml:space="preserve">UC5</t>
  </si>
  <si>
    <t xml:space="preserve">Manage User Accounts</t>
  </si>
  <si>
    <t xml:space="preserve">E</t>
  </si>
  <si>
    <t xml:space="preserve">Register; read; edit; deactivate accounts. Secondary scope.</t>
  </si>
  <si>
    <t xml:space="preserve">UC6</t>
  </si>
  <si>
    <t xml:space="preserve">Manage Deliveries</t>
  </si>
  <si>
    <t xml:space="preserve">F</t>
  </si>
  <si>
    <t xml:space="preserve">Create assignment; read; update delivery status; reassign before dispatch. Secondary scope.</t>
  </si>
  <si>
    <t xml:space="preserve">UC7</t>
  </si>
  <si>
    <t xml:space="preserve">UC8</t>
  </si>
  <si>
    <t xml:space="preserve">"Place and Manage Orders" owned?</t>
  </si>
  <si>
    <t xml:space="preserve">Pricing and payment module owner</t>
  </si>
  <si>
    <t xml:space="preserve">The pricing and payment module (BR1 to BR14) is shared team infrastructure. Its named owner is the student who owns "Place and Manage Orders".</t>
  </si>
  <si>
    <t xml:space="preserve">Technology tiers (from the specification; the instructor may edit the blue caps)</t>
  </si>
  <si>
    <t xml:space="preserve">Tier</t>
  </si>
  <si>
    <t xml:space="preserve">Max score (/10)</t>
  </si>
  <si>
    <t xml:space="preserve">Stack and architecture</t>
  </si>
  <si>
    <t xml:space="preserve">Tier 1</t>
  </si>
  <si>
    <t xml:space="preserve">C# WinForms + local SQL database / Excel. 3-Tier architecture.</t>
  </si>
  <si>
    <t xml:space="preserve">Tier 1B</t>
  </si>
  <si>
    <t xml:space="preserve">Core PHP (or CodeIgniter) + MySQL + Bootstrap. MVC architecture.</t>
  </si>
  <si>
    <t xml:space="preserve">Tier 2</t>
  </si>
  <si>
    <t xml:space="preserve">ASP.NET Web Forms/MVC (Database First) + SQL Server + Bootstrap. MVC.</t>
  </si>
  <si>
    <t xml:space="preserve">Tier 3</t>
  </si>
  <si>
    <t xml:space="preserve">ASP.NET MVC (Code First) + Entity Framework + Bootstrap. MVC.</t>
  </si>
  <si>
    <t xml:space="preserve">Tier 3 plus live sandbox API, interactive Admin dashboard and automated tests.</t>
  </si>
  <si>
    <t xml:space="preserve">Ambiguity Log and Questions to the Instructor</t>
  </si>
  <si>
    <t xml:space="preserve">At least 3 ambiguities, gaps or conflicts in the specification, each with your assumption. Ask only what the specification does not answer.</t>
  </si>
  <si>
    <t xml:space="preserve">ID</t>
  </si>
  <si>
    <t xml:space="preserve">Type</t>
  </si>
  <si>
    <t xml:space="preserve">Where in the specification and what is unclear</t>
  </si>
  <si>
    <t xml:space="preserve">Question to the instructor (optional)</t>
  </si>
  <si>
    <t xml:space="preserve">Team discussion and our assumption (if no answer)</t>
  </si>
  <si>
    <t xml:space="preserve">Instructor answer</t>
  </si>
  <si>
    <t xml:space="preserve">Date</t>
  </si>
  <si>
    <t xml:space="preserve">Final decision / assumption we use</t>
  </si>
  <si>
    <t xml:space="preserve">Affects (FR / BR / UC)</t>
  </si>
  <si>
    <t xml:space="preserve">A1</t>
  </si>
  <si>
    <t xml:space="preserve">Ambiguity</t>
  </si>
  <si>
    <t xml:space="preserve">Shipper assignment. Section 2C leaves the assignment mechanism open.</t>
  </si>
  <si>
    <t xml:space="preserve">May an Admin manually assign an available shipper to a Ready order?</t>
  </si>
  <si>
    <t xml:space="preserve">An Admin manually selects an available shipper for a Ready order. The system stores assignment time and shipper. Automatic dispatch is outside the initial scope.</t>
  </si>
  <si>
    <t xml:space="preserve">Draft</t>
  </si>
  <si>
    <t xml:space="preserve">FR-F1; UC F; assignment screen and service.</t>
  </si>
  <si>
    <t xml:space="preserve">A2</t>
  </si>
  <si>
    <t xml:space="preserve">Settlement after Failed delivery. Section 2C leaves the financial result of Failed delivery open.</t>
  </si>
  <si>
    <t xml:space="preserve">For Failed delivery, should online payments be refunded in full and COD collect no cash?</t>
  </si>
  <si>
    <t xml:space="preserve">Refund online-paid orders in full in the simulated ledger; collect no COD cash. Preserve Failed as its own terminal state and exclude it from R1 revenue.</t>
  </si>
  <si>
    <t xml:space="preserve">FR-F4; UC F/D; payment/refund policy and R1.</t>
  </si>
  <si>
    <t xml:space="preserve">A3</t>
  </si>
  <si>
    <t xml:space="preserve">Tourist delivery address. Hotel and room are allowed, but a field structure is not prescribed.</t>
  </si>
  <si>
    <t xml:space="preserve">May we use address text with optional hotel name and room for a tourist?</t>
  </si>
  <si>
    <t xml:space="preserve">Store street/address text plus optional hotel name and room. Require a usable delivery address for either customer type; tourists are not required to supply a Vietnamese phone.</t>
  </si>
  <si>
    <t xml:space="preserve">FR-E2 and FR-D1; address validation and checkout.</t>
  </si>
  <si>
    <t xml:space="preserve">A4</t>
  </si>
  <si>
    <t xml:space="preserve">Invalid voucher user flow. BR9 specifies eligibility but not whether a refused voucher should block the whole order.</t>
  </si>
  <si>
    <t xml:space="preserve">May we refuse the voucher and request explicit confirmation of the corrected total?</t>
  </si>
  <si>
    <t xml:space="preserve">Show the refusal and the corrected breakdown with V=0; require the customer to review and confirm that total before placing the order. Never silently submit a higher total.</t>
  </si>
  <si>
    <t xml:space="preserve">FR-C3 and FR-D9/D11; checkout confirmation.</t>
  </si>
  <si>
    <t xml:space="preserve">A5</t>
  </si>
  <si>
    <t xml:space="preserve">Catalogue price change before a Placed edit. BR17 fixes timestamp/load/rain but does not explicitly say which item prices apply when the catalogue changes before an edit.</t>
  </si>
  <si>
    <t xml:space="preserve">On a Placed edit after a catalogue price change, should existing lines retain recorded prices and new lines use current prices?</t>
  </si>
  <si>
    <t xml:space="preserve">Existing lines retain their recorded unit prices; newly added items use the current catalogue price after availability/membership validation. Recalculation still uses the original timestamp, load and rain snapshot.</t>
  </si>
  <si>
    <t xml:space="preserve">FR-D12/D14 and FR-A4; order-line price storage and edit tests.</t>
  </si>
  <si>
    <t xml:space="preserve">A-06</t>
  </si>
  <si>
    <t xml:space="preserve">A-07</t>
  </si>
  <si>
    <t xml:space="preserve">A-08</t>
  </si>
  <si>
    <t xml:space="preserve">A-09</t>
  </si>
  <si>
    <t xml:space="preserve">A-10</t>
  </si>
  <si>
    <t xml:space="preserve">A-11</t>
  </si>
  <si>
    <t xml:space="preserve">A-12</t>
  </si>
  <si>
    <t xml:space="preserve">A-13</t>
  </si>
  <si>
    <t xml:space="preserve">A-14</t>
  </si>
  <si>
    <t xml:space="preserve">A-15</t>
  </si>
  <si>
    <t xml:space="preserve">Number of ambiguities logged</t>
  </si>
  <si>
    <t xml:space="preserve">Check (need at least 3)</t>
  </si>
  <si>
    <t xml:space="preserve">Functional ("The system shall…") and non-functional requirements with IDs. Non-functional requirements need a measurable target.</t>
  </si>
  <si>
    <t xml:space="preserve">Requirement</t>
  </si>
  <si>
    <t xml:space="preserve">Priority</t>
  </si>
  <si>
    <t xml:space="preserve">Business rules (BR)</t>
  </si>
  <si>
    <t xml:space="preserve">Report (R1 / R2)</t>
  </si>
  <si>
    <t xml:space="preserve">Owner (ID)</t>
  </si>
  <si>
    <t xml:space="preserve">Measurable target (NFR) / acceptance note</t>
  </si>
  <si>
    <t xml:space="preserve">FR-A1</t>
  </si>
  <si>
    <t xml:space="preserve">The system shall let an administrator create a brand (name, description, operating hubs) and create its menu items (name, category, positive VND price, brand and availability).</t>
  </si>
  <si>
    <t xml:space="preserve">FR</t>
  </si>
  <si>
    <t xml:space="preserve">High</t>
  </si>
  <si>
    <t xml:space="preserve">BR12</t>
  </si>
  <si>
    <t xml:space="preserve">—</t>
  </si>
  <si>
    <t xml:space="preserve">Planned acceptance: TC-A-01. Source: BR12.</t>
  </si>
  <si>
    <t xml:space="preserve">FR-A2</t>
  </si>
  <si>
    <t xml:space="preserve">The system shall let any visitor view brands and menu items filtered by hub and by category.</t>
  </si>
  <si>
    <t xml:space="preserve">Planned acceptance: TC-A-02. Source: BR12.</t>
  </si>
  <si>
    <t xml:space="preserve">FR-A3</t>
  </si>
  <si>
    <t xml:space="preserve">The system shall let an administrator edit brand details and a menu item’s name, category, price and brand.</t>
  </si>
  <si>
    <t xml:space="preserve">Planned acceptance: TC-A-03. Source: BR12.</t>
  </si>
  <si>
    <t xml:space="preserve">FR-A4</t>
  </si>
  <si>
    <t xml:space="preserve">The system shall soft-delete brands and menu items, so that historical orders and reports keep their names and prices.</t>
  </si>
  <si>
    <t xml:space="preserve">Planned acceptance: TC-A-04. Source: BR12.</t>
  </si>
  <si>
    <t xml:space="preserve">FR-A5</t>
  </si>
  <si>
    <t xml:space="preserve">The system shall let an administrator set item availability; unavailable or inactive items shall not be orderable.</t>
  </si>
  <si>
    <t xml:space="preserve">Planned acceptance: TC-A-05. Source: BR12.</t>
  </si>
  <si>
    <t xml:space="preserve">FR-A6</t>
  </si>
  <si>
    <t xml:space="preserve">The system shall reject any order line whose item belongs to a brand the chosen hub does not operate.</t>
  </si>
  <si>
    <t xml:space="preserve">Planned acceptance: TC-A-06. Source: BR12.</t>
  </si>
  <si>
    <t xml:space="preserve">FR-B1</t>
  </si>
  <si>
    <t xml:space="preserve">The system shall let an administrator create a hub with a district, an address and a whole-number kitchen capacity greater than zero.</t>
  </si>
  <si>
    <t xml:space="preserve">BR8</t>
  </si>
  <si>
    <t xml:space="preserve">Planned acceptance: TC-B-01. Source: BR8.</t>
  </si>
  <si>
    <t xml:space="preserve">FR-B2</t>
  </si>
  <si>
    <t xml:space="preserve">The system shall display hub load as 100 times the count of Confirmed or Preparing orders divided by positive integer kitchen capacity; the new order is not counted.</t>
  </si>
  <si>
    <t xml:space="preserve">Planned acceptance: TC-B-02. Source: BR8.</t>
  </si>
  <si>
    <t xml:space="preserve">FR-B3</t>
  </si>
  <si>
    <t xml:space="preserve">The system shall let an administrator edit a hub’s district, address and positive integer capacity, and recompute displayed load after a capacity change.</t>
  </si>
  <si>
    <t xml:space="preserve">Planned acceptance: TC-B-03. Source: BR8.</t>
  </si>
  <si>
    <t xml:space="preserve">FR-B4</t>
  </si>
  <si>
    <t xml:space="preserve">The system shall soft-delete a hub, removing it from ordering while preserving its historical orders and report rows.</t>
  </si>
  <si>
    <t xml:space="preserve">Planned acceptance: TC-B-04. Source: BR8.</t>
  </si>
  <si>
    <t xml:space="preserve">FR-B5</t>
  </si>
  <si>
    <t xml:space="preserve">The system shall refuse a new order when the chosen hub’s load is 90 % or above and shall ask the customer to choose another hub.</t>
  </si>
  <si>
    <t xml:space="preserve">Planned acceptance: TC-B-05. Source: BR8.</t>
  </si>
  <si>
    <t xml:space="preserve">FR-C1</t>
  </si>
  <si>
    <t xml:space="preserve">The system shall let an administrator create a voucher with a code, a type (PERCENT or FIXED), a value, a maximum discount, a minimum subtotal, validity dates and an active flag.</t>
  </si>
  <si>
    <t xml:space="preserve">BR9</t>
  </si>
  <si>
    <t xml:space="preserve">Planned acceptance: TC-C-01. Source: BR9.</t>
  </si>
  <si>
    <t xml:space="preserve">FR-C2</t>
  </si>
  <si>
    <t xml:space="preserve">The system shall let an administrator view, edit and deactivate vouchers.</t>
  </si>
  <si>
    <t xml:space="preserve">Planned acceptance: TC-C-02. Source: BR9.</t>
  </si>
  <si>
    <t xml:space="preserve">FR-C3</t>
  </si>
  <si>
    <t xml:space="preserve">The system shall accept at most one active voucher within its validity dates and check its minimum-subtotal condition against S before discounts.</t>
  </si>
  <si>
    <t xml:space="preserve">Planned acceptance: TC-C-03. Source: BR9.</t>
  </si>
  <si>
    <t xml:space="preserve">FR-D1</t>
  </si>
  <si>
    <t xml:space="preserve">The system shall let a customer build an order from the menus of one hub, with 1 to 30 lines and a quantity of 1 to 20 per line.</t>
  </si>
  <si>
    <t xml:space="preserve">Planned acceptance: TC-D-01. Source: BR12.</t>
  </si>
  <si>
    <t xml:space="preserve">FR-D2</t>
  </si>
  <si>
    <t xml:space="preserve">The system shall reject an order whose item subtotal is below 50,000.</t>
  </si>
  <si>
    <t xml:space="preserve">BR1</t>
  </si>
  <si>
    <t xml:space="preserve">Planned acceptance: TC-D-02, 03. Source: BR1.</t>
  </si>
  <si>
    <t xml:space="preserve">FR-D3</t>
  </si>
  <si>
    <t xml:space="preserve">The system shall reject an order whose delivery distance exceeds 8.0 km.</t>
  </si>
  <si>
    <t xml:space="preserve">BR2</t>
  </si>
  <si>
    <t xml:space="preserve">Planned acceptance: TC-D-04, 05. Source: BR2.</t>
  </si>
  <si>
    <t xml:space="preserve">FR-D4</t>
  </si>
  <si>
    <t xml:space="preserve">The system shall charge D = 15,000 for d ≤ 2 km; 15,000 + 5,000 × ceil(d − 2) for 2 &lt; d ≤ 5; and 30,000 + 7,000 × ceil(d − 5) for 5 &lt; d ≤ 8.</t>
  </si>
  <si>
    <t xml:space="preserve">BR3</t>
  </si>
  <si>
    <t xml:space="preserve">Planned acceptance: TC-D-06…08. Source: BR3.</t>
  </si>
  <si>
    <t xml:space="preserve">FR-D5</t>
  </si>
  <si>
    <t xml:space="preserve">The system shall charge R = 20% of non-waived D when placement time in Vietnam (UTC+7) is in [11:00, 13:00) or [17:30, 19:30); otherwise R = 0.</t>
  </si>
  <si>
    <t xml:space="preserve">BR4</t>
  </si>
  <si>
    <t xml:space="preserve">Planned acceptance: TC-D-09…11. Source: BR4.</t>
  </si>
  <si>
    <t xml:space="preserve">FR-D6</t>
  </si>
  <si>
    <t xml:space="preserve">The system shall add a flat 10,000 rain surcharge while the administrator’s heavy-rain flag is on, using the flag value snapshotted on the order.</t>
  </si>
  <si>
    <t xml:space="preserve">BR5</t>
  </si>
  <si>
    <t xml:space="preserve">Planned acceptance: TC-D-12, 13. Source: BR5.</t>
  </si>
  <si>
    <t xml:space="preserve">FR-D7</t>
  </si>
  <si>
    <t xml:space="preserve">The system shall waive the delivery fee and the rush surcharge when the item subtotal is 300,000 or more, while the rain surcharge still applies.</t>
  </si>
  <si>
    <t xml:space="preserve">BR6</t>
  </si>
  <si>
    <t xml:space="preserve">Planned acceptance: TC-D-14, 15. Source: BR6.</t>
  </si>
  <si>
    <t xml:space="preserve">FR-D8</t>
  </si>
  <si>
    <t xml:space="preserve">The system shall apply a Quiet Kitchen discount of 10 % of the item subtotal when the hub load at placement is below 30 %.</t>
  </si>
  <si>
    <t xml:space="preserve">BR7</t>
  </si>
  <si>
    <t xml:space="preserve">Planned acceptance: TC-D-16, 17. Source: BR7.</t>
  </si>
  <si>
    <t xml:space="preserve">FR-D9</t>
  </si>
  <si>
    <t xml:space="preserve">The system shall calculate PERCENT voucher V on S − Q, limited by the voucher cap and S − Q; FIXED V shall not exceed S − Q.</t>
  </si>
  <si>
    <t xml:space="preserve">Planned acceptance: TC-D-18…20. Source: BR9.</t>
  </si>
  <si>
    <t xml:space="preserve">FR-D10</t>
  </si>
  <si>
    <t xml:space="preserve">The system shall calculate S, Q, V, F = S − Q − V, D, R, R2 and raw total = F + D + R + R2 in BR10 order, retain fractional values without intermediate rounding or truncation, then round once to the nearest 1,000 VND, half up.</t>
  </si>
  <si>
    <t xml:space="preserve">BR10, BR11</t>
  </si>
  <si>
    <t xml:space="preserve">Planned acceptance: TC-D-21, 22. Source: BR10, BR11.</t>
  </si>
  <si>
    <t xml:space="preserve">FR-D11</t>
  </si>
  <si>
    <t xml:space="preserve">The system shall show an itemised price breakdown — subtotal, Quiet Kitchen discount, voucher, food total, delivery fee, rush surcharge, rain surcharge, rounded total — before payment.</t>
  </si>
  <si>
    <t xml:space="preserve">BR10</t>
  </si>
  <si>
    <t xml:space="preserve">Planned acceptance: TC-D-23. Source: BR10.</t>
  </si>
  <si>
    <t xml:space="preserve">FR-D12</t>
  </si>
  <si>
    <t xml:space="preserve">The system shall allow items to be edited only while the order is Placed, and any recalculation shall reuse the stored placement snapshot.</t>
  </si>
  <si>
    <t xml:space="preserve">BR17</t>
  </si>
  <si>
    <t xml:space="preserve">Planned acceptance: TC-D-24. Source: BR17.</t>
  </si>
  <si>
    <t xml:space="preserve">FR-D13</t>
  </si>
  <si>
    <t xml:space="preserve">The system shall allow Customer cancellation in Placed or Confirmed, Kitchen Staff rejection in Placed with a reason, and Admin cancellation in Confirmed; online-paid cancellations shall be refunded in full (simulated).</t>
  </si>
  <si>
    <t xml:space="preserve">BR16</t>
  </si>
  <si>
    <t xml:space="preserve">Planned acceptance: TC-D-25, 26. Source: BR16.</t>
  </si>
  <si>
    <t xml:space="preserve">FR-D14</t>
  </si>
  <si>
    <t xml:space="preserve">The system shall store a price snapshot of timestamp, hub load and rain flag at placement so that the price stays reproducible.</t>
  </si>
  <si>
    <t xml:space="preserve">Planned acceptance: TC-D-27. Source: BR17.</t>
  </si>
  <si>
    <t xml:space="preserve">FR-E1</t>
  </si>
  <si>
    <t xml:space="preserve">The system shall register a Local Customer with a Vietnamese mobile number of exactly ten digits starting 03, 05, 07, 08 or 09, and a simulated OTP.</t>
  </si>
  <si>
    <t xml:space="preserve">BR18</t>
  </si>
  <si>
    <t xml:space="preserve">Planned acceptance: TC-E-01, 02. Source: BR18.</t>
  </si>
  <si>
    <t xml:space="preserve">FR-E2</t>
  </si>
  <si>
    <t xml:space="preserve">The system shall register a Foreign Tourist with a passport number of 6 to 9 letters or digits, a nationality, a valid email and a simulated email code.</t>
  </si>
  <si>
    <t xml:space="preserve">Planned acceptance: TC-E-03, 04. Source: BR18.</t>
  </si>
  <si>
    <t xml:space="preserve">FR-E3</t>
  </si>
  <si>
    <t xml:space="preserve">The system shall enforce a unique identifier and a password of at least eight characters stored as a hash.</t>
  </si>
  <si>
    <t xml:space="preserve">Planned acceptance: TC-E-05. Source: BR18.</t>
  </si>
  <si>
    <t xml:space="preserve">FR-E4</t>
  </si>
  <si>
    <t xml:space="preserve">The system shall store both customer types in one schema using a discriminator, and let an administrator view, edit and deactivate accounts.</t>
  </si>
  <si>
    <t xml:space="preserve">Planned acceptance: TC-E-06. Source: BR18.</t>
  </si>
  <si>
    <t xml:space="preserve">FR-F1</t>
  </si>
  <si>
    <t xml:space="preserve">The system shall let an administrator assign an available shipper to a Ready order and record the shipper and assignment time (assumption A1).</t>
  </si>
  <si>
    <t xml:space="preserve">BR15</t>
  </si>
  <si>
    <t xml:space="preserve">Planned acceptance: TC-F-01. Source: BR15.</t>
  </si>
  <si>
    <t xml:space="preserve">FR-F2</t>
  </si>
  <si>
    <t xml:space="preserve">The system shall enforce all eight transitions and actor/condition constraints in Specification section 2C in the business layer and reject every other transition; Delivered, Cancelled and Failed are terminal.</t>
  </si>
  <si>
    <t xml:space="preserve">Planned acceptance: TC-F-02, 03. Source: BR15.</t>
  </si>
  <si>
    <t xml:space="preserve">FR-F3</t>
  </si>
  <si>
    <t xml:space="preserve">The system shall require a shipper to confirm cash collected before a COD order may become Delivered.</t>
  </si>
  <si>
    <t xml:space="preserve">BR14</t>
  </si>
  <si>
    <t xml:space="preserve">Planned acceptance: TC-F-04. Source: BR14.</t>
  </si>
  <si>
    <t xml:space="preserve">FR-F4</t>
  </si>
  <si>
    <t xml:space="preserve">The system shall let the assigned shipper move Out for Delivery to terminal Failed when the customer is unreachable, recording a reason; financial settlement follows assumption A2.</t>
  </si>
  <si>
    <t xml:space="preserve">BR15, BR16</t>
  </si>
  <si>
    <t xml:space="preserve">Planned acceptance: TC-F-05. Source: BR15, BR16.</t>
  </si>
  <si>
    <t xml:space="preserve">FR-P1</t>
  </si>
  <si>
    <t xml:space="preserve">The system shall offer only the payment methods that belong to the customer’s actor group: MoMo, VNPay and cash for Local Customers; Apple Pay, PayPal and cash for Foreign Tourists.</t>
  </si>
  <si>
    <t xml:space="preserve">BR13</t>
  </si>
  <si>
    <t xml:space="preserve">Planned acceptance: TC-P-01, 02. Source: BR13.</t>
  </si>
  <si>
    <t xml:space="preserve">FR-P2</t>
  </si>
  <si>
    <t xml:space="preserve">The system shall refuse Cash on Delivery when the rounded total exceeds 1,000,000.</t>
  </si>
  <si>
    <t xml:space="preserve">Planned acceptance: TC-P-03. Source: BR14.</t>
  </si>
  <si>
    <t xml:space="preserve">FR-P3</t>
  </si>
  <si>
    <t xml:space="preserve">The system shall record each payment attempt with order, selected method, timestamp and success/failure outcome; only an actor-permitted Strategy may be selected.</t>
  </si>
  <si>
    <t xml:space="preserve">Planned acceptance: TC-P-04. Source: BR13.</t>
  </si>
  <si>
    <t xml:space="preserve">FR-P4</t>
  </si>
  <si>
    <t xml:space="preserve">The system shall integrate the live VNPay sandbox API for eligible Local Customer orders, authenticate callbacks and validate the order and amount before recording success, and process repeated callbacks idempotently.</t>
  </si>
  <si>
    <t xml:space="preserve">Tier 4 instructor table; BR13</t>
  </si>
  <si>
    <t xml:space="preserve">Planned acceptance: TC-P-05–09. Source: Tier 4 instructor table; BR13.</t>
  </si>
  <si>
    <t xml:space="preserve">FR-R1</t>
  </si>
  <si>
    <t xml:space="preserve">The system shall produce a Revenue report for a chosen date range showing total revenue by brand category and by payment method, excluding Cancelled and Failed orders.</t>
  </si>
  <si>
    <t xml:space="preserve">R1</t>
  </si>
  <si>
    <t xml:space="preserve">Planned acceptance: TC-RT-01, 02. Source: R1.</t>
  </si>
  <si>
    <t xml:space="preserve">FR-R2</t>
  </si>
  <si>
    <t xml:space="preserve">The system shall produce a Hub Utilization report showing, per hub, orders handled, average preparation time from Confirmed to Ready, current load percentage and the number of Quiet Kitchen discounts granted.</t>
  </si>
  <si>
    <t xml:space="preserve">R2</t>
  </si>
  <si>
    <t xml:space="preserve">Planned acceptance: TC-RT-03, 04. Source: R2.</t>
  </si>
  <si>
    <t xml:space="preserve">FR-S1</t>
  </si>
  <si>
    <t xml:space="preserve">The system shall let any user switch the interface between English and Vietnamese, and the choice shall persist for the session.</t>
  </si>
  <si>
    <t xml:space="preserve">NFR3</t>
  </si>
  <si>
    <t xml:space="preserve">Planned acceptance: TC-S-01. Source: NFR3.</t>
  </si>
  <si>
    <t xml:space="preserve">FR-S2</t>
  </si>
  <si>
    <t xml:space="preserve">The system shall restrict each role to its own functions on the server, not only in the interface.</t>
  </si>
  <si>
    <t xml:space="preserve">NFR4</t>
  </si>
  <si>
    <t xml:space="preserve">Planned acceptance: TC-S-02. Source: NFR4.</t>
  </si>
  <si>
    <t xml:space="preserve">FR-S3</t>
  </si>
  <si>
    <t xml:space="preserve">The system shall provide an interactive administrator dashboard for R1 and R2 with revenue date-range and hub-selection controls that refresh the respective charts and tables from the same authorised report data.</t>
  </si>
  <si>
    <t xml:space="preserve">A/B</t>
  </si>
  <si>
    <t xml:space="preserve">Tier 4 instructor table; R1, R2</t>
  </si>
  <si>
    <t xml:space="preserve">R1, R2</t>
  </si>
  <si>
    <t xml:space="preserve">524H0191 / 524H0179</t>
  </si>
  <si>
    <t xml:space="preserve">Planned acceptance: TC-S-03a–c. Source: Tier 4 instructor table; R1, R2.</t>
  </si>
  <si>
    <t xml:space="preserve">FR-S4</t>
  </si>
  <si>
    <t xml:space="preserve">The system shall let an administrator toggle the heavy-rain flag that the rain surcharge depends on.</t>
  </si>
  <si>
    <t xml:space="preserve">Planned acceptance: TC-S-04. Source: BR5.</t>
  </si>
  <si>
    <t xml:space="preserve">FR-S5</t>
  </si>
  <si>
    <t xml:space="preserve">The system shall append an audit record for each status change (actor, timestamp, old/new state) and payment attempt (actor, timestamp, method, outcome), without an application-level edit/delete operation.</t>
  </si>
  <si>
    <t xml:space="preserve">BR15, NFR5</t>
  </si>
  <si>
    <t xml:space="preserve">Planned acceptance: TC-S-05. Source: BR15, NFR5.</t>
  </si>
  <si>
    <t xml:space="preserve">NFR1</t>
  </si>
  <si>
    <t xml:space="preserve">Performance: Price calculation for a valid order of 30 lines completes in under 1.5 seconds server-side.</t>
  </si>
  <si>
    <t xml:space="preserve">NFR</t>
  </si>
  <si>
    <t xml:space="preserve">Case Study section 4B; BR12</t>
  </si>
  <si>
    <t xml:space="preserve">Mandatory baseline. Time the engine with 30 valid lines on the documented test machine; record environment, elapsed times and pass/fail in Part 3.</t>
  </si>
  <si>
    <t xml:space="preserve">NFR2</t>
  </si>
  <si>
    <t xml:space="preserve">Maintainability: Use MVC separation. Adding a payment method requires one new Strategy class and one registration, with zero edits to existing payment classes.</t>
  </si>
  <si>
    <t xml:space="preserve">Case Study section 4B; BR13</t>
  </si>
  <si>
    <t xml:space="preserve">Mandatory baseline. Add a sample method in a disposable branch; inspect the diff and rerun existing payment tests. This criterion applies to a payment-extension change request.</t>
  </si>
  <si>
    <t xml:space="preserve">Usability: All required screens support English/Vietnamese and operate without horizontal page scrolling at 390, 768 and 1440 px; culture switching preserves the cart and session.</t>
  </si>
  <si>
    <t xml:space="preserve">Case Study section 4B</t>
  </si>
  <si>
    <t xml:space="preserve">Mandatory baseline. Check each screen and language at the three widths, verify resource keys and repeat switching with a non-empty cart.</t>
  </si>
  <si>
    <t xml:space="preserve">Security: Passwords are hashed, never stored as plaintext; every role is refused every server action outside its authorised role and resource scope.</t>
  </si>
  <si>
    <t xml:space="preserve">Case Study section 4B; BR18</t>
  </si>
  <si>
    <t xml:space="preserve">Mandatory baseline. Inspect stored password representation; run an access matrix for both customer types, Kitchen Staff, Shipper and Admin, including other users’ orders and hubs.</t>
  </si>
  <si>
    <t xml:space="preserve">NFR5</t>
  </si>
  <si>
    <t xml:space="preserve">Auditability: 100% of accepted status changes and payment attempts append a record with actor and timestamp; status changes include old/new state, payment attempts include method/outcome. No application update/delete endpoint is provided.</t>
  </si>
  <si>
    <t xml:space="preserve">Medium</t>
  </si>
  <si>
    <t xml:space="preserve">D/F</t>
  </si>
  <si>
    <t xml:space="preserve">Team-defined; BR15; R2</t>
  </si>
  <si>
    <t xml:space="preserve">524H0195 / 524H0179</t>
  </si>
  <si>
    <t xml:space="preserve">Team-defined. Reconcile accepted transitions and payment attempts against audit rows and verify ordinary roles cannot change recorded history.</t>
  </si>
  <si>
    <t xml:space="preserve">NFR6</t>
  </si>
  <si>
    <t xml:space="preserve">Reliability: Zero forbidden transitions are accepted; repeated pricing with identical lines and the stored placement snapshot returns identical components and rounded total.</t>
  </si>
  <si>
    <t xml:space="preserve">Team-defined; BR10, BR11, BR15, BR17</t>
  </si>
  <si>
    <t xml:space="preserve">Team-defined. Enumerate the state/actor matrix, include at least five forbidden transitions, and repeat boundary pricing inputs against a fixed snapshot.</t>
  </si>
  <si>
    <t xml:space="preserve">Number of FRs / NFRs</t>
  </si>
  <si>
    <t xml:space="preserve">NFR check (4 baselines + at least 2 of your own = 6)</t>
  </si>
  <si>
    <t xml:space="preserve">7-Week Plan, Task Board and Risks</t>
  </si>
  <si>
    <t xml:space="preserve">Part 1 (Weeks 1-2), Part 2 (Weeks 3-4), Part 3 (Weeks 5-7). Week 5: running skeleton checkpoint and the Change Request.</t>
  </si>
  <si>
    <t xml:space="preserve">Week</t>
  </si>
  <si>
    <t xml:space="preserve">Milestone (fixed)</t>
  </si>
  <si>
    <t xml:space="preserve">Planned work</t>
  </si>
  <si>
    <t xml:space="preserve">Who (IDs)</t>
  </si>
  <si>
    <t xml:space="preserve">Deliverable</t>
  </si>
  <si>
    <t xml:space="preserve">Notes</t>
  </si>
  <si>
    <t xml:space="preserve">Part 1: requirements and proposal</t>
  </si>
  <si>
    <t xml:space="preserve">Analyse BR1–BR18; assign D/A/B; draft 47 FR, 6 NFR and 5 ambiguities.</t>
  </si>
  <si>
    <t xml:space="preserve">524H0195, 524H0191, 524H0179</t>
  </si>
  <si>
    <t xml:space="preserve">Part 1 report and shared workbook</t>
  </si>
  <si>
    <t xml:space="preserve">Planned</t>
  </si>
  <si>
    <t xml:space="preserve">Scrum plan: shared backlog and short daily coordination. Peer review rotation: 524H0179 reviews 524H0195; 524H0195 reviews 524H0191; 524H0191 reviews 524H0179. Record findings before milestone review.</t>
  </si>
  <si>
    <t xml:space="preserve">Week 2</t>
  </si>
  <si>
    <t xml:space="preserve">Part 1: Presentation 1 (Solution Pitch)</t>
  </si>
  <si>
    <t xml:space="preserve">Review report/workbook; rehearse all 3 speakers and submit the Solution Pitch.</t>
  </si>
  <si>
    <t xml:space="preserve">Part 1 report, workbook, 5-slide pitch</t>
  </si>
  <si>
    <t xml:space="preserve">Due 26 Oct 2026, 07:00 UTC+7. Planned speaking time 6:15; rehearsal pending.</t>
  </si>
  <si>
    <t xml:space="preserve">Week 3</t>
  </si>
  <si>
    <t xml:space="preserve">Part 2: UML, CRC, architecture</t>
  </si>
  <si>
    <t xml:space="preserve">Model each owned use case; state machine; CRC; class/ERD; MVC and payment Strategy.</t>
  </si>
  <si>
    <t xml:space="preserve">Part 2 design draft</t>
  </si>
  <si>
    <t xml:space="preserve">Review mappings from FR/NFR IDs to design elements.</t>
  </si>
  <si>
    <t xml:space="preserve">Week 4</t>
  </si>
  <si>
    <t xml:space="preserve">Part 2: Figma and Presentation 2 (Design Review)</t>
  </si>
  <si>
    <t xml:space="preserve">Validate Figma screens and UML; present Design Review; apply received feedback.</t>
  </si>
  <si>
    <t xml:space="preserve">Part 2 report, prototype, Presentation 2</t>
  </si>
  <si>
    <t xml:space="preserve">Due 9 Nov 2026, 07:00 UTC+7. Public Figma link required.</t>
  </si>
  <si>
    <t xml:space="preserve">Part 3: running skeleton checkpoint, Change Request issued</t>
  </si>
  <si>
    <t xml:space="preserve">Demonstrate running skeleton; analyse the actual instructor change request.</t>
  </si>
  <si>
    <t xml:space="preserve">Skeleton checkpoint and Change Request Impact Note</t>
  </si>
  <si>
    <t xml:space="preserve">Phú coordinates impact note; Tiến owns payment extension boundary. No issued change invented.</t>
  </si>
  <si>
    <t xml:space="preserve">Week 6</t>
  </si>
  <si>
    <t xml:space="preserve">Part 3: implementation and QA</t>
  </si>
  <si>
    <t xml:space="preserve">Implement D/A/B and secondary C/E/F; integrate sandbox, dashboards and automated QA.</t>
  </si>
  <si>
    <t xml:space="preserve">Integrated application and execution evidence</t>
  </si>
  <si>
    <t xml:space="preserve">At least 20 EP/BVA cases plus 5 invalid-transition tests.</t>
  </si>
  <si>
    <t xml:space="preserve">Week 7</t>
  </si>
  <si>
    <t xml:space="preserve">Part 3: final demo, report and video</t>
  </si>
  <si>
    <t xml:space="preserve">Complete RTM, QA, demo/video and contribution records; tag and submit Part 3.</t>
  </si>
  <si>
    <t xml:space="preserve">Part 3 code/QA/demo package</t>
  </si>
  <si>
    <t xml:space="preserve">Part 3 due 30 Nov 2026, 07:00 UTC+7. Separate final consolidation: 7 Dec; confirm portal.</t>
  </si>
  <si>
    <t xml:space="preserve">Task board</t>
  </si>
  <si>
    <t xml:space="preserve">Task</t>
  </si>
  <si>
    <t xml:space="preserve">Related FR / UC</t>
  </si>
  <si>
    <t xml:space="preserve">Link / evidence</t>
  </si>
  <si>
    <t xml:space="preserve">T01</t>
  </si>
  <si>
    <t xml:space="preserve">Baseline FR/NFR and order/pricing acceptance criteria</t>
  </si>
  <si>
    <t xml:space="preserve">D; BR1–BR18</t>
  </si>
  <si>
    <t xml:space="preserve">In progress</t>
  </si>
  <si>
    <t xml:space="preserve">Report §§1.3–1.4; Requirements. Planned reviewer: 524H0179; check load, lifecycle and delivery boundaries with 524H0195.</t>
  </si>
  <si>
    <t xml:space="preserve">T02</t>
  </si>
  <si>
    <t xml:space="preserve">Catalogue/accounts and R1 requirement review</t>
  </si>
  <si>
    <t xml:space="preserve">A/E; R1</t>
  </si>
  <si>
    <t xml:space="preserve">To do</t>
  </si>
  <si>
    <t xml:space="preserve">Report §§1.1/1.3. Planned reviewer: 524H0195; check catalogue-to-checkout and R1/payment consistency with 524H0191.</t>
  </si>
  <si>
    <t xml:space="preserve">T03</t>
  </si>
  <si>
    <t xml:space="preserve">Hub/delivery and R2 requirement review</t>
  </si>
  <si>
    <t xml:space="preserve">B/F; R2</t>
  </si>
  <si>
    <t xml:space="preserve">Report §§1.1/1.3. Planned reviewer: 524H0191; check hub/catalogue membership and R2 data with 524H0179.</t>
  </si>
  <si>
    <t xml:space="preserve">T04</t>
  </si>
  <si>
    <t xml:space="preserve">Rehearse Solution Pitch and coordinate Part 1 submission</t>
  </si>
  <si>
    <t xml:space="preserve">D/A/B</t>
  </si>
  <si>
    <t xml:space="preserve">Shared pitch notes; all 3 speakers claim D/A/B. Planned joint rehearsal checks handovers, one client journey and cross-scope questions.</t>
  </si>
  <si>
    <t xml:space="preserve">T05</t>
  </si>
  <si>
    <t xml:space="preserve">Order state and payment Strategy UML</t>
  </si>
  <si>
    <t xml:space="preserve">D; BR13–BR17</t>
  </si>
  <si>
    <t xml:space="preserve">Planned Part 2 UML/CRC. Reviewer 524H0179 checks order/delivery guards; 524H0191 checks account/payment and catalogue dependencies.</t>
  </si>
  <si>
    <t xml:space="preserve">T06</t>
  </si>
  <si>
    <t xml:space="preserve">Catalogue/accounts and R1 UI prototype</t>
  </si>
  <si>
    <t xml:space="preserve">Planned Figma/design review. Reviewer 524H0195 checks checkout/R1 flow; 524H0179 checks hub context.</t>
  </si>
  <si>
    <t xml:space="preserve">T07</t>
  </si>
  <si>
    <t xml:space="preserve">Hub/delivery design and Change Request impact</t>
  </si>
  <si>
    <t xml:space="preserve">Actual Week 5 request only. Reviewer 524H0191 checks R2/data impact; 524H0195 checks payment/pricing impact.</t>
  </si>
  <si>
    <t xml:space="preserve">T08</t>
  </si>
  <si>
    <t xml:space="preserve">Live sandbox integration and core automated tests</t>
  </si>
  <si>
    <t xml:space="preserve">Planned reviewers 524H0191 and 524H0179; retain redacted callbacks and joint regression logs, at least 20 EP/BVA and 5 invalid transitions.</t>
  </si>
  <si>
    <t xml:space="preserve">T09</t>
  </si>
  <si>
    <t xml:space="preserve">Interactive R1/R2 Admin dashboard and access checks</t>
  </si>
  <si>
    <t xml:space="preserve">R1/R2</t>
  </si>
  <si>
    <t xml:space="preserve">Planned reviewer 524H0195; reconcile chart/table totals with payment outcomes and delivery/load data owned by 524H0191/524H0179.</t>
  </si>
  <si>
    <t xml:space="preserve">T10</t>
  </si>
  <si>
    <t xml:space="preserve">Agree shared hub/menu/order/payment contracts</t>
  </si>
  <si>
    <t xml:space="preserve">D/A/B; FR-A6; FR-D14</t>
  </si>
  <si>
    <t xml:space="preserve">Planned joint review: all 3 members agree hub membership, availability, capacity, placement snapshot and payment boundaries; record decisions against FR IDs.</t>
  </si>
  <si>
    <t xml:space="preserve">T11</t>
  </si>
  <si>
    <t xml:space="preserve">Cross-review requirements and assumptions before baseline</t>
  </si>
  <si>
    <t xml:space="preserve">47 FR; 6 NFR; A1–A5</t>
  </si>
  <si>
    <t xml:space="preserve">Planned rotation: 524H0179 reviews D/C; 524H0195 reviews A/E; 524H0191 reviews B/F. Resolve comments in the shared register/RTM; retain reviewer links.</t>
  </si>
  <si>
    <t xml:space="preserve">T12</t>
  </si>
  <si>
    <t xml:space="preserve">Joint end-to-end integration and release review</t>
  </si>
  <si>
    <t xml:space="preserve">A/B/D/F; R1/R2</t>
  </si>
  <si>
    <t xml:space="preserve">Planned all-member journey: browse menu, select hub, checkout/pay, prepare/deliver, reconcile R1/R2. Retain scoped PRs, peer comments and linked test logs.</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</si>
  <si>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</si>
  <si>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</si>
  <si>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</si>
  <si>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</si>
  <si>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</si>
  <si>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</si>
  <si>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</si>
  <si>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</si>
  <si>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</si>
  <si>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</si>
  <si>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</si>
  <si>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</si>
  <si>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T25</t>
  </si>
  <si>
    <t xml:space="preserve">Risk list</t>
  </si>
  <si>
    <t xml:space="preserve">Risk description</t>
  </si>
  <si>
    <t xml:space="preserve">Likelihood</t>
  </si>
  <si>
    <t xml:space="preserve">Impact</t>
  </si>
  <si>
    <t xml:space="preserve">Score</t>
  </si>
  <si>
    <t xml:space="preserve">Mitigation / instructor comment</t>
  </si>
  <si>
    <t xml:space="preserve">R-01</t>
  </si>
  <si>
    <t xml:space="preserve">Sandbox credentials/provider availability could prevent live Tier 4 evidence.</t>
  </si>
  <si>
    <t xml:space="preserve">Open</t>
  </si>
  <si>
    <t xml:space="preserve">Arrange credentials early; retain real redacted callbacks. Label simulation; do not count it as live evidence.</t>
  </si>
  <si>
    <t xml:space="preserve">R-02</t>
  </si>
  <si>
    <t xml:space="preserve">Core MVC/EF Core variant has not been confirmed against the instructor tier wording.</t>
  </si>
  <si>
    <t xml:space="preserve">Ask instructor to confirm the proposed foundation before claiming Tier 4 eligibility.</t>
  </si>
  <si>
    <t xml:space="preserve">R-03</t>
  </si>
  <si>
    <t xml:space="preserve">Concurrent hub admission or forbidden transitions may violate BR8/BR15.</t>
  </si>
  <si>
    <t xml:space="preserve">Business-layer checks, transactional updates, boundary/state tests and audit consistency.</t>
  </si>
  <si>
    <t xml:space="preserve">R-04</t>
  </si>
  <si>
    <t xml:space="preserve">Week 5 change request may affect existing pricing/payment classes.</t>
  </si>
  <si>
    <t xml:space="preserve">Review actual impact; isolate payment Strategies; record class changes and regression results.</t>
  </si>
  <si>
    <t xml:space="preserve">R-05</t>
  </si>
  <si>
    <t xml:space="preserve">Dashboard totals or role access may disagree between chart and table.</t>
  </si>
  <si>
    <t xml:space="preserve">One authorised query path; reconcile R1/R2 totals, date/hub filters and non-Admin denial.</t>
  </si>
  <si>
    <t xml:space="preserve">R-06</t>
  </si>
  <si>
    <t xml:space="preserve">Planned tests, missing historical AI transcripts or commit attribution may be mistaken for evidence.</t>
  </si>
  <si>
    <t xml:space="preserve">Keep verdicts Not tested; recover original AI exports and audit per-student GitHub commits.</t>
  </si>
  <si>
    <t xml:space="preserve">R-07</t>
  </si>
  <si>
    <t xml:space="preserve">Runtime support may expire before later deadlines (.NET 8 baseline).</t>
  </si>
  <si>
    <t xml:space="preserve">Review the documented lifecycle risk with the instructor; record any approved runtime update.</t>
  </si>
  <si>
    <t xml:space="preserve">R-08</t>
  </si>
  <si>
    <t xml:space="preserve">Equivalence Partitioning and Boundary Value Planner</t>
  </si>
  <si>
    <t xml:space="preserve">Plan partitions and boundary values for every numeric threshold in BR1 to BR12 and BR14. At least 20 EP/BVA test cases in total.</t>
  </si>
  <si>
    <t xml:space="preserve">Rule</t>
  </si>
  <si>
    <t xml:space="preserve">Threshold under test</t>
  </si>
  <si>
    <t xml:space="preserve">Partitions (valid / invalid)</t>
  </si>
  <si>
    <t xml:space="preserve">Boundary values to test</t>
  </si>
  <si>
    <t xml:space="preserve">Test IDs (comma separated)</t>
  </si>
  <si>
    <t xml:space="preserve">Tests</t>
  </si>
  <si>
    <t xml:space="preserve">Minimum order subtotal</t>
  </si>
  <si>
    <t xml:space="preserve">Coverage distance</t>
  </si>
  <si>
    <t xml:space="preserve">Delivery fee bands (distance)</t>
  </si>
  <si>
    <t xml:space="preserve">Rush-hour windows (time)</t>
  </si>
  <si>
    <t xml:space="preserve">Free-delivery threshold</t>
  </si>
  <si>
    <t xml:space="preserve">Quiet Kitchen load threshold</t>
  </si>
  <si>
    <t xml:space="preserve">Hub load protection</t>
  </si>
  <si>
    <t xml:space="preserve">Voucher cap and minimum subtotal</t>
  </si>
  <si>
    <t xml:space="preserve">BR11</t>
  </si>
  <si>
    <t xml:space="preserve">Rounding to nearest 1,000</t>
  </si>
  <si>
    <t xml:space="preserve">Quantity per line and lines per order</t>
  </si>
  <si>
    <t xml:space="preserve">COD limit</t>
  </si>
  <si>
    <t xml:space="preserve">Other</t>
  </si>
  <si>
    <t xml:space="preserve">Any other threshold you found</t>
  </si>
  <si>
    <t xml:space="preserve">Total EP/BVA test cases planned</t>
  </si>
  <si>
    <t xml:space="preserve">EP/BVA tests recorded on the Test Cases sheet</t>
  </si>
  <si>
    <t xml:space="preserve">Check (need at least 20)</t>
  </si>
  <si>
    <t xml:space="preserve">Boundary values to think about: just below, exactly at, and just above each threshold (for example 49,999 / 50,000 / 50,001). Time windows are inclusive at the start and exclusive at the end.</t>
  </si>
  <si>
    <t xml:space="preserve">Table of test cases with Test ID, description, input, expected, actual and pass/fail, plus the FR and BR IDs each case covers.</t>
  </si>
  <si>
    <t xml:space="preserve">Test ID</t>
  </si>
  <si>
    <t xml:space="preserve">BR</t>
  </si>
  <si>
    <t xml:space="preserve">Technique</t>
  </si>
  <si>
    <t xml:space="preserve">Description</t>
  </si>
  <si>
    <t xml:space="preserve">Input data / steps</t>
  </si>
  <si>
    <t xml:space="preserve">Expected result</t>
  </si>
  <si>
    <t xml:space="preserve">Actual result</t>
  </si>
  <si>
    <t xml:space="preserve">Pass / fail</t>
  </si>
  <si>
    <t xml:space="preserve">Tested by (ID)</t>
  </si>
  <si>
    <t xml:space="preserve">T-01</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</si>
  <si>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</si>
  <si>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</si>
  <si>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</si>
  <si>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</si>
  <si>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</si>
  <si>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</si>
  <si>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</si>
  <si>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</si>
  <si>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</si>
  <si>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</si>
  <si>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</si>
  <si>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</si>
  <si>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</si>
  <si>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</si>
  <si>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</si>
  <si>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</si>
  <si>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</si>
  <si>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</si>
  <si>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</si>
  <si>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</si>
  <si>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</si>
  <si>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</si>
  <si>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</si>
  <si>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T-25</t>
  </si>
  <si>
    <t xml:space="preserve">T-26</t>
  </si>
  <si>
    <t xml:space="preserve">T-27</t>
  </si>
  <si>
    <t xml:space="preserve">T-28</t>
  </si>
  <si>
    <t xml:space="preserve">T-29</t>
  </si>
  <si>
    <t xml:space="preserve">T-30</t>
  </si>
  <si>
    <t xml:space="preserve">T-31</t>
  </si>
  <si>
    <t xml:space="preserve">T-32</t>
  </si>
  <si>
    <t xml:space="preserve">T-33</t>
  </si>
  <si>
    <t xml:space="preserve">T-34</t>
  </si>
  <si>
    <t xml:space="preserve">T-35</t>
  </si>
  <si>
    <t xml:space="preserve">T-36</t>
  </si>
  <si>
    <t xml:space="preserve">T-37</t>
  </si>
  <si>
    <t xml:space="preserve">T-38</t>
  </si>
  <si>
    <t xml:space="preserve">T-39</t>
  </si>
  <si>
    <t xml:space="preserve">T-40</t>
  </si>
  <si>
    <t xml:space="preserve">T-41</t>
  </si>
  <si>
    <t xml:space="preserve">T-42</t>
  </si>
  <si>
    <t xml:space="preserve">T-43</t>
  </si>
  <si>
    <t xml:space="preserve">T-44</t>
  </si>
  <si>
    <t xml:space="preserve">T-45</t>
  </si>
  <si>
    <t xml:space="preserve">T-46</t>
  </si>
  <si>
    <t xml:space="preserve">T-47</t>
  </si>
  <si>
    <t xml:space="preserve">T-48</t>
  </si>
  <si>
    <t xml:space="preserve">T-49</t>
  </si>
  <si>
    <t xml:space="preserve">T-50</t>
  </si>
  <si>
    <t xml:space="preserve">T-51</t>
  </si>
  <si>
    <t xml:space="preserve">T-52</t>
  </si>
  <si>
    <t xml:space="preserve">T-53</t>
  </si>
  <si>
    <t xml:space="preserve">T-54</t>
  </si>
  <si>
    <t xml:space="preserve">T-55</t>
  </si>
  <si>
    <t xml:space="preserve">T-56</t>
  </si>
  <si>
    <t xml:space="preserve">T-57</t>
  </si>
  <si>
    <t xml:space="preserve">T-58</t>
  </si>
  <si>
    <t xml:space="preserve">T-59</t>
  </si>
  <si>
    <t xml:space="preserve">T-60</t>
  </si>
  <si>
    <t xml:space="preserve">Pass</t>
  </si>
  <si>
    <t xml:space="preserve">Fail</t>
  </si>
  <si>
    <t xml:space="preserve">Not run</t>
  </si>
  <si>
    <t xml:space="preserve">Pass rate (of tests run)</t>
  </si>
  <si>
    <t xml:space="preserve">EP + BVA test cases (need 20)</t>
  </si>
  <si>
    <t xml:space="preserve">State tests (need 5 invalid)</t>
  </si>
  <si>
    <t xml:space="preserve">Order State Machine Tests (BR15)</t>
  </si>
  <si>
    <t xml:space="preserve">Cover every allowed transition, and try at least 5 invalid transitions. The business layer, not only the UI, must reject invalid ones.</t>
  </si>
  <si>
    <t xml:space="preserve">Allowed transitions (from the specification)</t>
  </si>
  <si>
    <t xml:space="preserve">From</t>
  </si>
  <si>
    <t xml:space="preserve">To</t>
  </si>
  <si>
    <t xml:space="preserve">Allowed actor</t>
  </si>
  <si>
    <t xml:space="preserve">Condition</t>
  </si>
  <si>
    <t xml:space="preserve">Covered by test ID</t>
  </si>
  <si>
    <t xml:space="preserve">Tested OK?</t>
  </si>
  <si>
    <t xml:space="preserve">Placed</t>
  </si>
  <si>
    <t xml:space="preserve">Confirmed</t>
  </si>
  <si>
    <t xml:space="preserve">Kitchen Staff</t>
  </si>
  <si>
    <t xml:space="preserve">Hub of the order</t>
  </si>
  <si>
    <t xml:space="preserve">Cancelled</t>
  </si>
  <si>
    <t xml:space="preserve">Customer or Kitchen Staff</t>
  </si>
  <si>
    <t xml:space="preserve">Kitchen must give a reason</t>
  </si>
  <si>
    <t xml:space="preserve">Preparing</t>
  </si>
  <si>
    <t xml:space="preserve">–</t>
  </si>
  <si>
    <t xml:space="preserve">Customer or Admin</t>
  </si>
  <si>
    <t xml:space="preserve">Ready</t>
  </si>
  <si>
    <t xml:space="preserve">Out for Delivery</t>
  </si>
  <si>
    <t xml:space="preserve">Shipper</t>
  </si>
  <si>
    <t xml:space="preserve">A shipper is assigned</t>
  </si>
  <si>
    <t xml:space="preserve">Delivered</t>
  </si>
  <si>
    <t xml:space="preserve">COD: cash confirmed (BR14)</t>
  </si>
  <si>
    <t xml:space="preserve">Failed</t>
  </si>
  <si>
    <t xml:space="preserve">Customer unreachable</t>
  </si>
  <si>
    <t xml:space="preserve">Coverage</t>
  </si>
  <si>
    <t xml:space="preserve">Invalid transition tests (at least 5)</t>
  </si>
  <si>
    <t xml:space="preserve">Test ID in Test Cases</t>
  </si>
  <si>
    <t xml:space="preserve">From state</t>
  </si>
  <si>
    <t xml:space="preserve">Attempted state</t>
  </si>
  <si>
    <t xml:space="preserve">Actor</t>
  </si>
  <si>
    <t xml:space="preserve">S-01</t>
  </si>
  <si>
    <t xml:space="preserve">S-02</t>
  </si>
  <si>
    <t xml:space="preserve">S-03</t>
  </si>
  <si>
    <t xml:space="preserve">S-04</t>
  </si>
  <si>
    <t xml:space="preserve">S-05</t>
  </si>
  <si>
    <t xml:space="preserve">S-06</t>
  </si>
  <si>
    <t xml:space="preserve">S-07</t>
  </si>
  <si>
    <t xml:space="preserve">S-08</t>
  </si>
  <si>
    <t xml:space="preserve">S-09</t>
  </si>
  <si>
    <t xml:space="preserve">S-10</t>
  </si>
  <si>
    <t xml:space="preserve">S-11</t>
  </si>
  <si>
    <t xml:space="preserve">S-12</t>
  </si>
  <si>
    <t xml:space="preserve">S-13</t>
  </si>
  <si>
    <t xml:space="preserve">S-14</t>
  </si>
  <si>
    <t xml:space="preserve">S-15</t>
  </si>
  <si>
    <t xml:space="preserve">Invalid tests recorded</t>
  </si>
  <si>
    <t xml:space="preserve">Check (need at least 5)</t>
  </si>
  <si>
    <t xml:space="preserve">Examples of invalid moves: Delivered to Preparing, Cancelled to Confirmed, Preparing to Cancelled, Ready to Delivered, Placed to Ready.</t>
  </si>
  <si>
    <t xml:space="preserve">Requirements Traceability Matrix</t>
  </si>
  <si>
    <t xml:space="preserve">Links every FR and NFR to its use case, design element, code component and test cases. IDs and requirement text come from the Requirements sheet.</t>
  </si>
  <si>
    <t xml:space="preserve">Design element (diagram / class)</t>
  </si>
  <si>
    <t xml:space="preserve">Code component (class / file)</t>
  </si>
  <si>
    <t xml:space="preserve">Test IDs</t>
  </si>
  <si>
    <t xml:space="preserve">Verdict</t>
  </si>
  <si>
    <t xml:space="preserve">No test?</t>
  </si>
  <si>
    <t xml:space="preserve">Planned: Brand entity, menu admin</t>
  </si>
  <si>
    <t xml:space="preserve">Planned: BrandsController</t>
  </si>
  <si>
    <t xml:space="preserve">TC-A-01</t>
  </si>
  <si>
    <t xml:space="preserve">Not tested</t>
  </si>
  <si>
    <t xml:space="preserve">Planned: Catalogue view</t>
  </si>
  <si>
    <t xml:space="preserve">TC-A-02</t>
  </si>
  <si>
    <t xml:space="preserve">Planned: Menu edit form</t>
  </si>
  <si>
    <t xml:space="preserve">TC-A-03</t>
  </si>
  <si>
    <t xml:space="preserve">Planned: Soft-delete filter</t>
  </si>
  <si>
    <t xml:space="preserve">Planned: DbContext filters</t>
  </si>
  <si>
    <t xml:space="preserve">TC-A-04</t>
  </si>
  <si>
    <t xml:space="preserve">Planned: Availability flag</t>
  </si>
  <si>
    <t xml:space="preserve">Planned: MenuItemService</t>
  </si>
  <si>
    <t xml:space="preserve">TC-A-05</t>
  </si>
  <si>
    <t xml:space="preserve">Planned: Hub-brand relation</t>
  </si>
  <si>
    <t xml:space="preserve">Planned: OrderService</t>
  </si>
  <si>
    <t xml:space="preserve">TC-A-06</t>
  </si>
  <si>
    <t xml:space="preserve">Planned: Hub entity</t>
  </si>
  <si>
    <t xml:space="preserve">Planned: HubsController</t>
  </si>
  <si>
    <t xml:space="preserve">TC-B-01</t>
  </si>
  <si>
    <t xml:space="preserve">Planned: Derived load</t>
  </si>
  <si>
    <t xml:space="preserve">Planned: HubLoadCalculator</t>
  </si>
  <si>
    <t xml:space="preserve">TC-B-02</t>
  </si>
  <si>
    <t xml:space="preserve">Planned: Capacity edit</t>
  </si>
  <si>
    <t xml:space="preserve">TC-B-03</t>
  </si>
  <si>
    <t xml:space="preserve">TC-B-04</t>
  </si>
  <si>
    <t xml:space="preserve">Planned: Admission rule</t>
  </si>
  <si>
    <t xml:space="preserve">Planned: OrderAdmissionService</t>
  </si>
  <si>
    <t xml:space="preserve">TC-B-05</t>
  </si>
  <si>
    <t xml:space="preserve">Planned: Voucher entity</t>
  </si>
  <si>
    <t xml:space="preserve">Planned: VouchersController</t>
  </si>
  <si>
    <t xml:space="preserve">TC-C-01</t>
  </si>
  <si>
    <t xml:space="preserve">Planned: Voucher admin</t>
  </si>
  <si>
    <t xml:space="preserve">TC-C-02</t>
  </si>
  <si>
    <t xml:space="preserve">Planned: Voucher validation</t>
  </si>
  <si>
    <t xml:space="preserve">Planned: VoucherService</t>
  </si>
  <si>
    <t xml:space="preserve">TC-C-03</t>
  </si>
  <si>
    <t xml:space="preserve">Planned: Cart, line limits</t>
  </si>
  <si>
    <t xml:space="preserve">Planned: OrdersController</t>
  </si>
  <si>
    <t xml:space="preserve">TC-D-01</t>
  </si>
  <si>
    <t xml:space="preserve">Planned: Minimum order</t>
  </si>
  <si>
    <t xml:space="preserve">Planned: PricingEngine</t>
  </si>
  <si>
    <t xml:space="preserve">TC-D-02, 03</t>
  </si>
  <si>
    <t xml:space="preserve">Planned: Coverage check</t>
  </si>
  <si>
    <t xml:space="preserve">TC-D-04, 05</t>
  </si>
  <si>
    <t xml:space="preserve">Planned: Distance tiers</t>
  </si>
  <si>
    <t xml:space="preserve">TC-D-06…08</t>
  </si>
  <si>
    <t xml:space="preserve">Planned: Rush windows</t>
  </si>
  <si>
    <t xml:space="preserve">TC-D-09…11</t>
  </si>
  <si>
    <t xml:space="preserve">Planned: Rain surcharge</t>
  </si>
  <si>
    <t xml:space="preserve">TC-D-12, 13</t>
  </si>
  <si>
    <t xml:space="preserve">Planned: Free-delivery waiver</t>
  </si>
  <si>
    <t xml:space="preserve">TC-D-14, 15</t>
  </si>
  <si>
    <t xml:space="preserve">Planned: Quiet Kitchen rule</t>
  </si>
  <si>
    <t xml:space="preserve">TC-D-16, 17</t>
  </si>
  <si>
    <t xml:space="preserve">Planned: Voucher application</t>
  </si>
  <si>
    <t xml:space="preserve">TC-D-18…20</t>
  </si>
  <si>
    <t xml:space="preserve">Planned: Nine-step order</t>
  </si>
  <si>
    <t xml:space="preserve">TC-D-21, 22</t>
  </si>
  <si>
    <t xml:space="preserve">Planned: Breakdown view</t>
  </si>
  <si>
    <t xml:space="preserve">TC-D-23</t>
  </si>
  <si>
    <t xml:space="preserve">Planned: Edit while Placed</t>
  </si>
  <si>
    <t xml:space="preserve">TC-D-24</t>
  </si>
  <si>
    <t xml:space="preserve">Planned: Cancellation rules</t>
  </si>
  <si>
    <t xml:space="preserve">Planned: OrderStateMachine</t>
  </si>
  <si>
    <t xml:space="preserve">TC-D-25, 26</t>
  </si>
  <si>
    <t xml:space="preserve">Planned: Price snapshot</t>
  </si>
  <si>
    <t xml:space="preserve">Planned: Order entity</t>
  </si>
  <si>
    <t xml:space="preserve">TC-D-27</t>
  </si>
  <si>
    <t xml:space="preserve">Planned: Local validation</t>
  </si>
  <si>
    <t xml:space="preserve">Planned: AccountController</t>
  </si>
  <si>
    <t xml:space="preserve">TC-E-01, 02</t>
  </si>
  <si>
    <t xml:space="preserve">Planned: Tourist validation</t>
  </si>
  <si>
    <t xml:space="preserve">TC-E-03, 04</t>
  </si>
  <si>
    <t xml:space="preserve">Planned: Hash + uniqueness</t>
  </si>
  <si>
    <t xml:space="preserve">Planned: AccountService</t>
  </si>
  <si>
    <t xml:space="preserve">TC-E-05</t>
  </si>
  <si>
    <t xml:space="preserve">Planned: Discriminator schema</t>
  </si>
  <si>
    <t xml:space="preserve">Planned: DbContext</t>
  </si>
  <si>
    <t xml:space="preserve">TC-E-06</t>
  </si>
  <si>
    <t xml:space="preserve">Planned: Shipper assignment</t>
  </si>
  <si>
    <t xml:space="preserve">Planned: DeliveriesController</t>
  </si>
  <si>
    <t xml:space="preserve">TC-F-01</t>
  </si>
  <si>
    <t xml:space="preserve">Planned: State machine</t>
  </si>
  <si>
    <t xml:space="preserve">TC-F-02, 03</t>
  </si>
  <si>
    <t xml:space="preserve">Planned: Cash confirmation</t>
  </si>
  <si>
    <t xml:space="preserve">Planned: DeliveryService</t>
  </si>
  <si>
    <t xml:space="preserve">TC-F-04</t>
  </si>
  <si>
    <t xml:space="preserve">Planned: Failure path</t>
  </si>
  <si>
    <t xml:space="preserve">TC-F-05</t>
  </si>
  <si>
    <t xml:space="preserve">Planned: Actor-method map</t>
  </si>
  <si>
    <t xml:space="preserve">Planned: PaymentStrategyResolver</t>
  </si>
  <si>
    <t xml:space="preserve">TC-P-01, 02</t>
  </si>
  <si>
    <t xml:space="preserve">Planned: COD ceiling</t>
  </si>
  <si>
    <t xml:space="preserve">Planned: CodStrategy</t>
  </si>
  <si>
    <t xml:space="preserve">TC-P-03</t>
  </si>
  <si>
    <t xml:space="preserve">Planned: Payment record</t>
  </si>
  <si>
    <t xml:space="preserve">Planned: PaymentService</t>
  </si>
  <si>
    <t xml:space="preserve">TC-P-04</t>
  </si>
  <si>
    <t xml:space="preserve">Planned: Sandbox adapter and callback validation</t>
  </si>
  <si>
    <t xml:space="preserve">Planned: VnPayStrategy / PaymentService</t>
  </si>
  <si>
    <t xml:space="preserve">TC-P-05–09</t>
  </si>
  <si>
    <t xml:space="preserve">Planned: Revenue aggregation</t>
  </si>
  <si>
    <t xml:space="preserve">Planned: ReportService</t>
  </si>
  <si>
    <t xml:space="preserve">TC-RT-01, 02</t>
  </si>
  <si>
    <t xml:space="preserve">Planned: Utilisation aggregation</t>
  </si>
  <si>
    <t xml:space="preserve">TC-RT-03, 04</t>
  </si>
  <si>
    <t xml:space="preserve">Planned: Resource files</t>
  </si>
  <si>
    <t xml:space="preserve">Planned: Localisation</t>
  </si>
  <si>
    <t xml:space="preserve">TC-S-01</t>
  </si>
  <si>
    <t xml:space="preserve">Planned: Authorisation policy</t>
  </si>
  <si>
    <t xml:space="preserve">Planned: Policies</t>
  </si>
  <si>
    <t xml:space="preserve">TC-S-02</t>
  </si>
  <si>
    <t xml:space="preserve">Planned: Dashboard</t>
  </si>
  <si>
    <t xml:space="preserve">Planned: AdminController</t>
  </si>
  <si>
    <t xml:space="preserve">TC-S-03a–c</t>
  </si>
  <si>
    <t xml:space="preserve">Planned: Rain flag</t>
  </si>
  <si>
    <t xml:space="preserve">TC-S-04</t>
  </si>
  <si>
    <t xml:space="preserve">Planned: Audit writer</t>
  </si>
  <si>
    <t xml:space="preserve">Planned: OrderStatusHistory</t>
  </si>
  <si>
    <t xml:space="preserve">TC-S-05</t>
  </si>
  <si>
    <t xml:space="preserve">Planned: Pure PricingEngine</t>
  </si>
  <si>
    <t xml:space="preserve">TC-NFR-1</t>
  </si>
  <si>
    <t xml:space="preserve">Planned: Payment Strategy and registration</t>
  </si>
  <si>
    <t xml:space="preserve">TC-NFR-2</t>
  </si>
  <si>
    <t xml:space="preserve">Planned: Responsive views and localisation</t>
  </si>
  <si>
    <t xml:space="preserve">TC-NFR-3</t>
  </si>
  <si>
    <t xml:space="preserve">Planned: Identity and authorisation policies</t>
  </si>
  <si>
    <t xml:space="preserve">TC-NFR-4</t>
  </si>
  <si>
    <t xml:space="preserve">Planned: Append-only audit/history writer</t>
  </si>
  <si>
    <t xml:space="preserve">TC-NFR-5</t>
  </si>
  <si>
    <t xml:space="preserve">Planned: Order state machine and price snapshot</t>
  </si>
  <si>
    <t xml:space="preserve">TC-NFR-6</t>
  </si>
  <si>
    <t xml:space="preserve">Requirements with a verdict of Pass</t>
  </si>
  <si>
    <t xml:space="preserve">Requirements without any test ID</t>
  </si>
  <si>
    <t xml:space="preserve">Change Request Impact Note</t>
  </si>
  <si>
    <t xml:space="preserve">Issued by the instructor in Week 5 (for example a new payment method or pricing rule). A well-designed system absorbs it with small, local changes.</t>
  </si>
  <si>
    <t xml:space="preserve">Impact note</t>
  </si>
  <si>
    <t xml:space="preserve">Item</t>
  </si>
  <si>
    <t xml:space="preserve">Your answer</t>
  </si>
  <si>
    <t xml:space="preserve">Change Request (what was asked)</t>
  </si>
  <si>
    <t xml:space="preserve">Date received</t>
  </si>
  <si>
    <t xml:space="preserve">Requirements affected (FR / BR)</t>
  </si>
  <si>
    <t xml:space="preserve">Summary of the solution</t>
  </si>
  <si>
    <t xml:space="preserve">Effort (hours) and who did it</t>
  </si>
  <si>
    <t xml:space="preserve">What was easy or hard, and why</t>
  </si>
  <si>
    <t xml:space="preserve">Existing payment classes edited? (should be No)</t>
  </si>
  <si>
    <t xml:space="preserve">Class change list</t>
  </si>
  <si>
    <t xml:space="preserve">Class / file</t>
  </si>
  <si>
    <t xml:space="preserve">What changed</t>
  </si>
  <si>
    <t xml:space="preserve">Added or modified</t>
  </si>
  <si>
    <t xml:space="preserve">Existing payment class?</t>
  </si>
  <si>
    <t xml:space="preserve">Commit link (evidence)</t>
  </si>
  <si>
    <t xml:space="preserve">Classes added</t>
  </si>
  <si>
    <t xml:space="preserve">Classes modified</t>
  </si>
  <si>
    <t xml:space="preserve">Existing payment classes modified</t>
  </si>
  <si>
    <t xml:space="preserve">Modifying an existing payment class (red row) suggests the Strategy pattern was not applied well. Explain it in the impact note.</t>
  </si>
  <si>
    <t xml:space="preserve">The tier cap applies only if the delivered system really uses the stack of the tier (a mixed stack is graded at the lower tier).</t>
  </si>
  <si>
    <t xml:space="preserve">#</t>
  </si>
  <si>
    <t xml:space="preserve">Student</t>
  </si>
  <si>
    <t xml:space="preserve">Instructor</t>
  </si>
  <si>
    <t xml:space="preserve">Notes / evidence</t>
  </si>
  <si>
    <t xml:space="preserve">All tiers</t>
  </si>
  <si>
    <t xml:space="preserve">Delivered stack matches the chosen tier</t>
  </si>
  <si>
    <t xml:space="preserve">Proposed ASP.NET Core MVC + EF Core Code-First + SQL Server + Bootstrap 5. Instructor confirmation of Core variant pending.</t>
  </si>
  <si>
    <t xml:space="preserve">3-Tier (Tier 1) or MVC (other tiers) is enforced in the code, not only in the diagrams</t>
  </si>
  <si>
    <t xml:space="preserve">Planned MVC controllers/views, business services and EF persistence. Verify actual separation in Parts 2/3.</t>
  </si>
  <si>
    <t xml:space="preserve">Web tiers use Bootstrap (responsive grid)</t>
  </si>
  <si>
    <t xml:space="preserve">Planned Bootstrap responsive layout; test 390, 768 and 1440 px with English/Vietnamese.</t>
  </si>
  <si>
    <t xml:space="preserve">Payment methods use the Strategy pattern (interface, one class per method, selection by actor type)</t>
  </si>
  <si>
    <t xml:space="preserve">Planned payment Strategy per method and actor; extension test: one new class plus registration.</t>
  </si>
  <si>
    <t xml:space="preserve">Pricing rules BR1 to BR14 live in one business-layer module, not in the UI</t>
  </si>
  <si>
    <t xml:space="preserve">Planned pure PricingEngine with placement snapshot; test BR1–BR14 boundaries and eligibility in services.</t>
  </si>
  <si>
    <t xml:space="preserve">Order state machine is enforced in the business layer (BR15)</t>
  </si>
  <si>
    <t xml:space="preserve">Planned business-layer OrderStateMachine; cover every allowed and at least 5 forbidden transitions.</t>
  </si>
  <si>
    <t xml:space="preserve">Both reports R1 (Revenue) and R2 (Hub Utilization) work</t>
  </si>
  <si>
    <t xml:space="preserve">Planned R1 Revenue and R2 Hub Utilization with authorised queries and reconciled totals.</t>
  </si>
  <si>
    <t xml:space="preserve">Tagged GitHub release is the submission; the application runs from it</t>
  </si>
  <si>
    <t xml:space="preserve">Tagged GitHub release and clean runbook are later deliverables; not verified in this Part 1 revision.</t>
  </si>
  <si>
    <t xml:space="preserve">Tier 4 only</t>
  </si>
  <si>
    <t xml:space="preserve">(a) Live sandbox API integration (VNPay Sandbox or PayPal Developer) works</t>
  </si>
  <si>
    <t xml:space="preserve">Planned live VNPay sandbox. Owner 524H0195. Require real success/failure callbacks, authentication, amount/order checks and replay-safe handling; mock is insufficient.</t>
  </si>
  <si>
    <t xml:space="preserve">(b) Interactive Admin dashboard</t>
  </si>
  <si>
    <t xml:space="preserve">Planned interactive R1/R2 Admin dashboard. Owners 524H0191 / 524H0179. Require working filters, matching chart/table totals and role denial.</t>
  </si>
  <si>
    <t xml:space="preserve">(c) Automated tests of core workflows (for example Selenium or Playwright) with logs</t>
  </si>
  <si>
    <t xml:space="preserve">Planned unit/integration/E2E execution with retained logs, at least 20 EP/BVA and 5 forbidden transitions. Every member covers their scope.</t>
  </si>
  <si>
    <t xml:space="preserve">Contribution Statement Draft and GitHub Commits</t>
  </si>
  <si>
    <t xml:space="preserve">More than 10 meaningful commits per student, touching the student's own use case. The signed one-page Contribution Statement is handed in at the start of Part 3.</t>
  </si>
  <si>
    <t xml:space="preserve">Commits on GitHub</t>
  </si>
  <si>
    <t xml:space="preserve">Use case(s) owned</t>
  </si>
  <si>
    <t xml:space="preserve">Classes, components and report sections owned</t>
  </si>
  <si>
    <t xml:space="preserve">Evidence (commit links, pull requests)</t>
  </si>
  <si>
    <t xml:space="preserve">Not verified</t>
  </si>
  <si>
    <t xml:space="preserve">D; C - Manage Vouchers; Pricing Engine (BR1-BR12); Payment Strategy Module</t>
  </si>
  <si>
    <t xml:space="preserve">Planned ownership: Place and Manage Orders; pricing/payments. Planned peer reviewer: 524H0179. Review shared interfaces and joint acceptance cases.</t>
  </si>
  <si>
    <t xml:space="preserve">Planned evidence: scoped PRs, peer-review comments and linked FR/test IDs. Reviewer 524H0179; commit counts and completed reviews not audited.</t>
  </si>
  <si>
    <t xml:space="preserve">A; E - Manage User Accounts</t>
  </si>
  <si>
    <t xml:space="preserve">Planned ownership: Manage Menu &amp; Brands; R1 - Revenue Report. Planned peer reviewer: 524H0195. Review shared interfaces and joint acceptance cases.</t>
  </si>
  <si>
    <t xml:space="preserve">Planned evidence: scoped PRs, peer-review comments and linked FR/test IDs. Reviewer 524H0195; commit counts and completed reviews not audited.</t>
  </si>
  <si>
    <t xml:space="preserve">B; F - Manage Deliveries; Change Request Impact Note</t>
  </si>
  <si>
    <t xml:space="preserve">Planned ownership: Manage Hubs &amp; Capacity; R2 - Hub Utilization Report. Planned peer reviewer: 524H0191. Review shared interfaces and joint acceptance cases.</t>
  </si>
  <si>
    <t xml:space="preserve">Planned evidence: scoped PRs, peer-review comments and linked FR/test IDs. Reviewer 524H0191; commit counts and completed reviews not audited.</t>
  </si>
  <si>
    <t xml:space="preserve">Commit counts of 10 or fewer are highlighted red. The Contribution Factor (0.70 to 1.00) uses this sheet, the GitHub history, the signed statement, the peer review and the individual questions in Presentations 2 and 3.</t>
  </si>
  <si>
    <t xml:space="preserve">Weekly contribution log (optional but recommended)</t>
  </si>
  <si>
    <t xml:space="preserve">What I did</t>
  </si>
  <si>
    <t xml:space="preserve">Hours</t>
  </si>
  <si>
    <t xml:space="preserve">Commit / link</t>
  </si>
  <si>
    <t xml:space="preserve">Blockers</t>
  </si>
  <si>
    <t xml:space="preserve">Generative AI Usage Log</t>
  </si>
  <si>
    <t xml:space="preserve">One row per use. Keep the full prompts and outputs in a separate file (Appendix B) and hand them over within 48 hours if asked.</t>
  </si>
  <si>
    <t xml:space="preserve">Tool and date</t>
  </si>
  <si>
    <t xml:space="preserve">Prompt (summary)</t>
  </si>
  <si>
    <t xml:space="preserve">What you kept or changed</t>
  </si>
  <si>
    <t xml:space="preserve">How you verified it</t>
  </si>
  <si>
    <t xml:space="preserve">1</t>
  </si>
  <si>
    <t xml:space="preserve">DeepSeek Harness (DSH), 23 Oct 2026</t>
  </si>
  <si>
    <t xml:space="preserve">Earlier draft and project scaffolding</t>
  </si>
  <si>
    <t xml:space="preserve">Earlier project log describes extraction of BRs, FR drafting, architecture and rendering. This is a summary from that log, not a recovered raw prompt.</t>
  </si>
  <si>
    <t xml:space="preserve">Retained the useful document structure and stable FR IDs; corrected conflicting thresholds, ownership and unsupported claims during this revision.</t>
  </si>
  <si>
    <t xml:space="preserve">Compared current requirements with the three course PDFs; earlier raw prompts/outputs are not available in this workspace.</t>
  </si>
  <si>
    <t xml:space="preserve">TeamG4 (team-wide assistance)</t>
  </si>
  <si>
    <t xml:space="preserve">2</t>
  </si>
  <si>
    <t xml:space="preserve">OpenAI Codex, 24 Oct 2026</t>
  </si>
  <si>
    <t xml:space="preserve">Strict Part 1 audit</t>
  </si>
  <si>
    <t xml:space="preserve">User requested a lecturer-style audit of existing Part 1 against the screenshot, course requirements, templates and TDTU skills.</t>
  </si>
  <si>
    <t xml:space="preserve">Recorded faults and repair priorities in PART1_AUDIT_2026-10-24.md; did not use the provisional score as an official course mark.</t>
  </si>
  <si>
    <t xml:space="preserve">Read the course PDFs, extracted workbook cells, rendered report/slides, checked links and calculated the rounding counterexample independently.</t>
  </si>
  <si>
    <t xml:space="preserve">3</t>
  </si>
  <si>
    <t xml:space="preserve">Correct and synchronise Part 1 deliverables</t>
  </si>
  <si>
    <t xml:space="preserve">User: “ok giờ bạn cứ sửa sao cho chuẩn nhất đi đẻ hoàn thiện part 1”.</t>
  </si>
  <si>
    <t xml:space="preserve">One shared FR/NFR/ambiguity register, corrected report/workbook/pitch and explicit planned verification. No invented signatures or instructor answers.</t>
  </si>
  <si>
    <t xml:space="preserve">Build and source-consistency checks; rendered output checks are recorded in the Part 1 verification note. Live pitch, sandbox and application tests are outside this document revision.</t>
  </si>
  <si>
    <t xml:space="preserve">4</t>
  </si>
  <si>
    <t xml:space="preserve">OpenAI Codex, 25 Oct 2026</t>
  </si>
  <si>
    <t xml:space="preserve">Align team Excel with the instructor original</t>
  </si>
  <si>
    <t xml:space="preserve">User requested the original SE_Sem01_2627_Team_Workbook_Template.xlsx and authorised implementation once downloaded.</t>
  </si>
  <si>
    <t xml:space="preserve">Retained all 14 sheets, original headers and student/instructor input colours. Mapped 47 FR, 6 NFR, 5 ambiguities; extended Requirements/RTM by 8 rows.</t>
  </si>
  <si>
    <t xml:space="preserve">Source hash, template features, canonical records, formulas and rendered ranges checked. No instructor answer, tested verdict or individual commit count invented.</t>
  </si>
  <si>
    <t xml:space="preserve">5</t>
  </si>
  <si>
    <t xml:space="preserve">Clarify planned team collaboration</t>
  </si>
  <si>
    <t xml:space="preserve">The team requested clearer teamwork and stronger evidence in its Excel deliverables.</t>
  </si>
  <si>
    <t xml:space="preserve">Added named planned peer reviewers, joint contract/requirements/integration tasks and future PR/review/test evidence. Main ownership and requirement IDs retained.</t>
  </si>
  <si>
    <t xml:space="preserve">Template fidelity, reviewer separation, task status and synchronisation checked. No completed meeting, review, commit count or test result invented.</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</si>
  <si>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</si>
  <si>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</si>
  <si>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</si>
  <si>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</si>
  <si>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</si>
  <si>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</si>
  <si>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</si>
  <si>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</si>
  <si>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</si>
  <si>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</si>
  <si>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</si>
  <si>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</si>
  <si>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</si>
  <si>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</si>
  <si>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</si>
  <si>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</si>
  <si>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</si>
  <si>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</si>
  <si>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</si>
  <si>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</si>
  <si>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</si>
  <si>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</si>
  <si>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</si>
  <si>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</si>
  <si>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</si>
  <si>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</si>
  <si>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</si>
  <si>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</si>
  <si>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</si>
  <si>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</si>
  <si>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</si>
  <si>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</si>
  <si>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</si>
  <si>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</si>
  <si>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</si>
  <si>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The final report must show that you applied the feedback from the previous presentations. Record each item and what you changed.</t>
  </si>
  <si>
    <t xml:space="preserve">Source</t>
  </si>
  <si>
    <t xml:space="preserve">Feedback received</t>
  </si>
  <si>
    <t xml:space="preserve">What we changed and where</t>
  </si>
  <si>
    <t xml:space="preserve">Report section</t>
  </si>
  <si>
    <t xml:space="preserve">Done</t>
  </si>
</sst>
</file>

<file path=xl/styles.xml><?xml version="1.0" encoding="utf-8"?>
<styleSheet xmlns="http://schemas.openxmlformats.org/spreadsheetml/2006/main">
  <numFmts count="3">
    <numFmt numFmtId="164" formatCode="General"/>
    <numFmt numFmtId="165" formatCode="0.0"/>
    <numFmt numFmtId="166" formatCode="0%"/>
  </numFmts>
  <fonts count="13">
    <font>
      <sz val="10"/>
      <name val="Arial"/>
      <family val="2"/>
    </font>
    <font>
      <sz val="10"/>
      <name val="Arial"/>
      <family val="0"/>
    </font>
    <font>
      <sz val="10"/>
      <name val="Arial"/>
      <family val="0"/>
    </font>
    <font>
      <sz val="10"/>
      <name val="Arial"/>
      <family val="0"/>
    </font>
    <font>
      <sz val="11"/>
      <color theme="1"/>
      <name val="Calibri"/>
      <family val="2"/>
      <charset val="1"/>
    </font>
    <font>
      <b val="true"/>
      <sz val="15"/>
      <color rgb="FF1F3A5F"/>
      <name val="Arial"/>
      <family val="0"/>
      <charset val="1"/>
    </font>
    <font>
      <i val="true"/>
      <sz val="10"/>
      <color rgb="FF595959"/>
      <name val="Arial"/>
      <family val="0"/>
      <charset val="1"/>
    </font>
    <font>
      <b val="true"/>
      <sz val="12"/>
      <color rgb="FF1F3A5F"/>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9" fillId="2" borderId="1" xfId="20" applyFont="true" applyBorder="true" applyAlignment="true" applyProtection="false">
      <alignment horizontal="general" vertical="top" textRotation="0" wrapText="tru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4" fontId="9" fillId="3" borderId="1" xfId="20" applyFont="true" applyBorder="true" applyAlignment="true" applyProtection="false">
      <alignment horizontal="general" vertical="top" textRotation="0" wrapText="true" indent="0" shrinkToFit="false"/>
      <protection locked="true" hidden="false"/>
    </xf>
    <xf numFmtId="164" fontId="10" fillId="4" borderId="1" xfId="20" applyFont="true" applyBorder="true" applyAlignment="true" applyProtection="false">
      <alignment horizontal="center" vertical="center" textRotation="0" wrapText="true" indent="0" shrinkToFit="false"/>
      <protection locked="true" hidden="false"/>
    </xf>
    <xf numFmtId="164" fontId="11" fillId="0" borderId="1" xfId="20" applyFont="true" applyBorder="true" applyAlignment="true" applyProtection="false">
      <alignment horizontal="general" vertical="top" textRotation="0" wrapText="true" indent="0" shrinkToFit="false"/>
      <protection locked="true" hidden="false"/>
    </xf>
    <xf numFmtId="164" fontId="11" fillId="5" borderId="1" xfId="20" applyFont="true" applyBorder="true" applyAlignment="true" applyProtection="false">
      <alignment horizontal="general" vertical="top" textRotation="0" wrapText="true" indent="0" shrinkToFit="false"/>
      <protection locked="true" hidden="false"/>
    </xf>
    <xf numFmtId="165" fontId="8" fillId="0" borderId="1" xfId="20" applyFont="true" applyBorder="true" applyAlignment="true" applyProtection="false">
      <alignment horizontal="center" vertical="center" textRotation="0" wrapText="true" indent="0" shrinkToFit="false"/>
      <protection locked="true" hidden="false"/>
    </xf>
    <xf numFmtId="164" fontId="8" fillId="0" borderId="1" xfId="20" applyFont="true" applyBorder="true" applyAlignment="true" applyProtection="false">
      <alignment horizontal="center" vertical="center" textRotation="0" wrapText="true" indent="0" shrinkToFit="false"/>
      <protection locked="true" hidden="false"/>
    </xf>
    <xf numFmtId="164" fontId="10" fillId="6" borderId="1" xfId="20" applyFont="true" applyBorder="true" applyAlignment="true" applyProtection="false">
      <alignment horizontal="center" vertical="center" textRotation="0" wrapText="true" indent="0" shrinkToFit="false"/>
      <protection locked="true" hidden="false"/>
    </xf>
    <xf numFmtId="164" fontId="10" fillId="7" borderId="1" xfId="20" applyFont="true" applyBorder="true" applyAlignment="true" applyProtection="false">
      <alignment horizontal="center" vertical="center" textRotation="0" wrapText="true" indent="0" shrinkToFit="false"/>
      <protection locked="true" hidden="false"/>
    </xf>
    <xf numFmtId="164" fontId="11" fillId="5" borderId="1" xfId="20" applyFont="true" applyBorder="true" applyAlignment="true" applyProtection="false">
      <alignment horizontal="center" vertical="center" textRotation="0" wrapText="true" indent="0" shrinkToFit="false"/>
      <protection locked="true" hidden="false"/>
    </xf>
    <xf numFmtId="164" fontId="12" fillId="0" borderId="0" xfId="20" applyFont="true" applyBorder="false" applyAlignment="false" applyProtection="false">
      <alignment horizontal="general" vertical="bottom" textRotation="0" wrapText="false" indent="0" shrinkToFit="false"/>
      <protection locked="true" hidden="false"/>
    </xf>
    <xf numFmtId="165" fontId="9" fillId="0" borderId="1" xfId="20" applyFont="true" applyBorder="true" applyAlignment="true" applyProtection="false">
      <alignment horizontal="center" vertical="center" textRotation="0" wrapText="true" indent="0" shrinkToFit="false"/>
      <protection locked="true" hidden="false"/>
    </xf>
    <xf numFmtId="166" fontId="8" fillId="0" borderId="1" xfId="20" applyFont="true" applyBorder="true" applyAlignment="true" applyProtection="false">
      <alignment horizontal="center" vertical="center" textRotation="0" wrapText="true" indent="0" shrinkToFit="false"/>
      <protection locked="true" hidden="false"/>
    </xf>
    <xf numFmtId="164" fontId="9" fillId="2" borderId="1" xfId="20" applyFont="true" applyBorder="true" applyAlignment="true" applyProtection="false">
      <alignment horizontal="center" vertical="center" textRotation="0" wrapText="true" indent="0" shrinkToFit="false"/>
      <protection locked="true" hidden="false"/>
    </xf>
    <xf numFmtId="164" fontId="8" fillId="5" borderId="1" xfId="20" applyFont="true" applyBorder="true" applyAlignment="true" applyProtection="false">
      <alignment horizontal="general" vertical="top" textRotation="0" wrapText="true" indent="0" shrinkToFit="false"/>
      <protection locked="true" hidden="false"/>
    </xf>
    <xf numFmtId="164" fontId="9" fillId="3" borderId="1" xfId="20" applyFont="true" applyBorder="true" applyAlignment="true" applyProtection="false">
      <alignment horizontal="center" vertical="center" textRotation="0" wrapText="true" indent="0" shrinkToFit="false"/>
      <protection locked="true" hidden="false"/>
    </xf>
    <xf numFmtId="164" fontId="9" fillId="0" borderId="1"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0">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9C0006"/>
      </font>
      <fill>
        <patternFill>
          <bgColor rgb="FFFDE2E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56"/>
    <col collapsed="false" customWidth="true" hidden="false" outlineLevel="0" max="4" min="4" style="0" width="3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61.5" hidden="false" customHeight="true" outlineLevel="0" collapsed="false">
      <c r="A5" s="4" t="s">
        <v>3</v>
      </c>
      <c r="B5" s="4"/>
      <c r="C5" s="4"/>
      <c r="D5" s="4"/>
    </row>
    <row r="7" customFormat="false" ht="15" hidden="false" customHeight="false" outlineLevel="0" collapsed="false">
      <c r="A7" s="3" t="s">
        <v>4</v>
      </c>
    </row>
    <row r="8" customFormat="false" ht="31.5" hidden="false" customHeight="true" outlineLevel="0" collapsed="false">
      <c r="A8" s="4" t="s">
        <v>5</v>
      </c>
      <c r="B8" s="4"/>
      <c r="C8" s="4"/>
      <c r="D8" s="4"/>
    </row>
    <row r="9" customFormat="false" ht="31.5" hidden="false" customHeight="true" outlineLevel="0" collapsed="false">
      <c r="A9" s="4" t="s">
        <v>6</v>
      </c>
      <c r="B9" s="4"/>
      <c r="C9" s="4"/>
      <c r="D9" s="4"/>
    </row>
    <row r="10" customFormat="false" ht="31.5" hidden="false" customHeight="true" outlineLevel="0" collapsed="false">
      <c r="A10" s="4" t="s">
        <v>7</v>
      </c>
      <c r="B10" s="4"/>
      <c r="C10" s="4"/>
      <c r="D10" s="4"/>
    </row>
    <row r="11" customFormat="false" ht="31.5" hidden="false" customHeight="true" outlineLevel="0" collapsed="false">
      <c r="A11" s="4" t="s">
        <v>8</v>
      </c>
      <c r="B11" s="4"/>
      <c r="C11" s="4"/>
      <c r="D11" s="4"/>
    </row>
    <row r="13" customFormat="false" ht="15" hidden="false" customHeight="false" outlineLevel="0" collapsed="false">
      <c r="A13" s="3" t="s">
        <v>9</v>
      </c>
    </row>
    <row r="14" customFormat="false" ht="15" hidden="false" customHeight="false" outlineLevel="0" collapsed="false">
      <c r="A14" s="5" t="s">
        <v>10</v>
      </c>
      <c r="B14" s="6" t="s">
        <v>11</v>
      </c>
    </row>
    <row r="15" customFormat="false" ht="15" hidden="false" customHeight="false" outlineLevel="0" collapsed="false">
      <c r="A15" s="7" t="s">
        <v>12</v>
      </c>
      <c r="B15" s="6" t="s">
        <v>13</v>
      </c>
    </row>
    <row r="16" customFormat="false" ht="15" hidden="false" customHeight="false" outlineLevel="0" collapsed="false">
      <c r="A16" s="6" t="s">
        <v>14</v>
      </c>
      <c r="B16" s="6" t="s">
        <v>15</v>
      </c>
    </row>
    <row r="18" customFormat="false" ht="15" hidden="false" customHeight="false" outlineLevel="0" collapsed="false">
      <c r="A18" s="3" t="s">
        <v>16</v>
      </c>
    </row>
    <row r="19" customFormat="false" ht="15" hidden="false" customHeight="false" outlineLevel="0" collapsed="false">
      <c r="A19" s="8" t="s">
        <v>17</v>
      </c>
      <c r="B19" s="8" t="s">
        <v>18</v>
      </c>
      <c r="C19" s="8" t="s">
        <v>19</v>
      </c>
      <c r="D19" s="8" t="s">
        <v>20</v>
      </c>
    </row>
    <row r="20" customFormat="false" ht="31.5" hidden="false" customHeight="true" outlineLevel="0" collapsed="false">
      <c r="A20" s="9" t="s">
        <v>21</v>
      </c>
      <c r="B20" s="6" t="s">
        <v>22</v>
      </c>
      <c r="C20" s="6" t="s">
        <v>23</v>
      </c>
      <c r="D20" s="6" t="s">
        <v>24</v>
      </c>
    </row>
    <row r="21" customFormat="false" ht="31.5" hidden="false" customHeight="true" outlineLevel="0" collapsed="false">
      <c r="A21" s="9" t="s">
        <v>25</v>
      </c>
      <c r="B21" s="6" t="s">
        <v>26</v>
      </c>
      <c r="C21" s="6" t="s">
        <v>23</v>
      </c>
      <c r="D21" s="6" t="s">
        <v>27</v>
      </c>
    </row>
    <row r="22" customFormat="false" ht="31.5" hidden="false" customHeight="true" outlineLevel="0" collapsed="false">
      <c r="A22" s="9" t="s">
        <v>28</v>
      </c>
      <c r="B22" s="6" t="s">
        <v>29</v>
      </c>
      <c r="C22" s="6" t="s">
        <v>30</v>
      </c>
      <c r="D22" s="6" t="s">
        <v>31</v>
      </c>
    </row>
    <row r="23" customFormat="false" ht="31.5" hidden="false" customHeight="true" outlineLevel="0" collapsed="false">
      <c r="A23" s="9" t="s">
        <v>32</v>
      </c>
      <c r="B23" s="6" t="s">
        <v>33</v>
      </c>
      <c r="C23" s="6" t="s">
        <v>34</v>
      </c>
      <c r="D23" s="6" t="s">
        <v>35</v>
      </c>
    </row>
    <row r="24" customFormat="false" ht="31.5" hidden="false" customHeight="true" outlineLevel="0" collapsed="false">
      <c r="A24" s="9" t="s">
        <v>36</v>
      </c>
      <c r="B24" s="6" t="s">
        <v>37</v>
      </c>
      <c r="C24" s="6" t="s">
        <v>38</v>
      </c>
      <c r="D24" s="6" t="s">
        <v>39</v>
      </c>
    </row>
    <row r="25" customFormat="false" ht="31.5" hidden="false" customHeight="true" outlineLevel="0" collapsed="false">
      <c r="A25" s="9" t="s">
        <v>40</v>
      </c>
      <c r="B25" s="6" t="s">
        <v>41</v>
      </c>
      <c r="C25" s="6" t="s">
        <v>38</v>
      </c>
      <c r="D25" s="6" t="s">
        <v>42</v>
      </c>
    </row>
    <row r="26" customFormat="false" ht="31.5" hidden="false" customHeight="true" outlineLevel="0" collapsed="false">
      <c r="A26" s="9" t="s">
        <v>43</v>
      </c>
      <c r="B26" s="6" t="s">
        <v>44</v>
      </c>
      <c r="C26" s="6" t="s">
        <v>38</v>
      </c>
      <c r="D26" s="6" t="s">
        <v>42</v>
      </c>
    </row>
    <row r="27" customFormat="false" ht="31.5" hidden="false" customHeight="true" outlineLevel="0" collapsed="false">
      <c r="A27" s="9" t="s">
        <v>45</v>
      </c>
      <c r="B27" s="6" t="s">
        <v>46</v>
      </c>
      <c r="C27" s="6" t="s">
        <v>42</v>
      </c>
      <c r="D27" s="6" t="s">
        <v>31</v>
      </c>
    </row>
    <row r="28" customFormat="false" ht="31.5" hidden="false" customHeight="true" outlineLevel="0" collapsed="false">
      <c r="A28" s="9" t="s">
        <v>47</v>
      </c>
      <c r="B28" s="6" t="s">
        <v>48</v>
      </c>
      <c r="C28" s="6" t="s">
        <v>49</v>
      </c>
      <c r="D28" s="6" t="s">
        <v>50</v>
      </c>
    </row>
    <row r="29" customFormat="false" ht="31.5" hidden="false" customHeight="true" outlineLevel="0" collapsed="false">
      <c r="A29" s="9" t="s">
        <v>51</v>
      </c>
      <c r="B29" s="6" t="s">
        <v>52</v>
      </c>
      <c r="C29" s="6" t="s">
        <v>53</v>
      </c>
      <c r="D29" s="6" t="s">
        <v>35</v>
      </c>
    </row>
    <row r="30" customFormat="false" ht="31.5" hidden="false" customHeight="true" outlineLevel="0" collapsed="false">
      <c r="A30" s="9" t="s">
        <v>54</v>
      </c>
      <c r="B30" s="6" t="s">
        <v>55</v>
      </c>
      <c r="C30" s="6" t="s">
        <v>56</v>
      </c>
      <c r="D30" s="6" t="s">
        <v>35</v>
      </c>
    </row>
    <row r="31" customFormat="false" ht="31.5" hidden="false" customHeight="true" outlineLevel="0" collapsed="false">
      <c r="A31" s="9" t="s">
        <v>57</v>
      </c>
      <c r="B31" s="6" t="s">
        <v>58</v>
      </c>
      <c r="C31" s="6" t="s">
        <v>59</v>
      </c>
      <c r="D31" s="6" t="s">
        <v>35</v>
      </c>
    </row>
    <row r="32" customFormat="false" ht="31.5" hidden="false" customHeight="true" outlineLevel="0" collapsed="false">
      <c r="A32" s="9" t="s">
        <v>60</v>
      </c>
      <c r="B32" s="6" t="s">
        <v>61</v>
      </c>
      <c r="C32" s="6" t="s">
        <v>62</v>
      </c>
      <c r="D32" s="6" t="s">
        <v>63</v>
      </c>
    </row>
  </sheetData>
  <mergeCells count="5">
    <mergeCell ref="A5:D5"/>
    <mergeCell ref="A8:D8"/>
    <mergeCell ref="A9:D9"/>
    <mergeCell ref="A10:D10"/>
    <mergeCell ref="A11:D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6"/>
    <col collapsed="false" customWidth="true" hidden="false" outlineLevel="0" max="4" min="4" style="0" width="26"/>
    <col collapsed="false" customWidth="true" hidden="false" outlineLevel="0" max="6" min="5" style="0" width="16"/>
    <col collapsed="false" customWidth="true" hidden="false" outlineLevel="0" max="7" min="7" style="0" width="34"/>
    <col collapsed="false" customWidth="true" hidden="false" outlineLevel="0" max="8" min="8" style="0" width="26"/>
  </cols>
  <sheetData>
    <row r="1" customFormat="false" ht="18.55" hidden="false" customHeight="false" outlineLevel="0" collapsed="false">
      <c r="A1" s="1" t="s">
        <v>64</v>
      </c>
    </row>
    <row r="2" customFormat="false" ht="15" hidden="false" customHeight="false" outlineLevel="0" collapsed="false">
      <c r="A2" s="2" t="s">
        <v>65</v>
      </c>
    </row>
    <row r="4" customFormat="false" ht="15" hidden="false" customHeight="true" outlineLevel="0" collapsed="false">
      <c r="A4" s="10" t="s">
        <v>66</v>
      </c>
      <c r="B4" s="5" t="s">
        <v>67</v>
      </c>
      <c r="C4" s="5"/>
    </row>
    <row r="5" customFormat="false" ht="15" hidden="false" customHeight="true" outlineLevel="0" collapsed="false">
      <c r="A5" s="10" t="s">
        <v>68</v>
      </c>
      <c r="B5" s="5" t="s">
        <v>69</v>
      </c>
      <c r="C5" s="5"/>
    </row>
    <row r="6" customFormat="false" ht="15" hidden="false" customHeight="false" outlineLevel="0" collapsed="false">
      <c r="A6" s="10" t="s">
        <v>70</v>
      </c>
      <c r="B6" s="11" t="n">
        <f aca="false">IF(B7&lt;&gt;"",IFERROR(VLOOKUP(B7,$A$37:$B$41,2,FALSE()),""),IFERROR(VLOOKUP(B5,$A$37:$B$41,2,FALSE()),""))</f>
        <v>10</v>
      </c>
    </row>
    <row r="7" customFormat="false" ht="23.85" hidden="false" customHeight="false" outlineLevel="0" collapsed="false">
      <c r="A7" s="10" t="s">
        <v>71</v>
      </c>
      <c r="B7" s="7"/>
      <c r="C7" s="7"/>
    </row>
    <row r="8" customFormat="false" ht="15" hidden="false" customHeight="false" outlineLevel="0" collapsed="false">
      <c r="A8" s="10" t="s">
        <v>72</v>
      </c>
      <c r="B8" s="12" t="n">
        <f aca="false">COUNTA(B11:B13)</f>
        <v>3</v>
      </c>
    </row>
    <row r="10" customFormat="false" ht="39.75" hidden="false" customHeight="true" outlineLevel="0" collapsed="false">
      <c r="A10" s="8" t="s">
        <v>73</v>
      </c>
      <c r="B10" s="13" t="s">
        <v>74</v>
      </c>
      <c r="C10" s="13" t="s">
        <v>75</v>
      </c>
      <c r="D10" s="13" t="s">
        <v>76</v>
      </c>
      <c r="E10" s="8" t="s">
        <v>77</v>
      </c>
      <c r="F10" s="8" t="s">
        <v>78</v>
      </c>
      <c r="G10" s="8" t="s">
        <v>79</v>
      </c>
    </row>
    <row r="11" customFormat="false" ht="36" hidden="false" customHeight="true" outlineLevel="0" collapsed="false">
      <c r="A11" s="10" t="s">
        <v>80</v>
      </c>
      <c r="B11" s="5" t="s">
        <v>81</v>
      </c>
      <c r="C11" s="5" t="s">
        <v>82</v>
      </c>
      <c r="D11" s="5" t="s">
        <v>83</v>
      </c>
      <c r="E11" s="12" t="n">
        <f aca="false">IF(C11="","",COUNTIF($F$18:$F$25,C11))</f>
        <v>2</v>
      </c>
      <c r="F11" s="12" t="str">
        <f aca="false">IF(C11="","",'Contribution &amp; Commits'!D5)</f>
        <v>Not verified</v>
      </c>
      <c r="G11" s="12" t="str">
        <f aca="false">IF(C11="","",IF(E11&gt;=1,"OK","Needs at least 1 main use case"))</f>
        <v>OK</v>
      </c>
    </row>
    <row r="12" customFormat="false" ht="36" hidden="false" customHeight="true" outlineLevel="0" collapsed="false">
      <c r="A12" s="10" t="s">
        <v>84</v>
      </c>
      <c r="B12" s="5" t="s">
        <v>85</v>
      </c>
      <c r="C12" s="5" t="s">
        <v>86</v>
      </c>
      <c r="D12" s="5" t="s">
        <v>87</v>
      </c>
      <c r="E12" s="12" t="n">
        <f aca="false">IF(C12="","",COUNTIF($F$18:$F$25,C12))</f>
        <v>2</v>
      </c>
      <c r="F12" s="12" t="str">
        <f aca="false">IF(C12="","",'Contribution &amp; Commits'!D6)</f>
        <v>Not verified</v>
      </c>
      <c r="G12" s="12" t="str">
        <f aca="false">IF(C12="","",IF(E12&gt;=1,"OK","Needs at least 1 main use case"))</f>
        <v>OK</v>
      </c>
    </row>
    <row r="13" customFormat="false" ht="36" hidden="false" customHeight="true" outlineLevel="0" collapsed="false">
      <c r="A13" s="10" t="s">
        <v>88</v>
      </c>
      <c r="B13" s="5" t="s">
        <v>89</v>
      </c>
      <c r="C13" s="5" t="s">
        <v>90</v>
      </c>
      <c r="D13" s="5" t="s">
        <v>91</v>
      </c>
      <c r="E13" s="12" t="n">
        <f aca="false">IF(C13="","",COUNTIF($F$18:$F$25,C13))</f>
        <v>2</v>
      </c>
      <c r="F13" s="12" t="str">
        <f aca="false">IF(C13="","",'Contribution &amp; Commits'!D7)</f>
        <v>Not verified</v>
      </c>
      <c r="G13" s="12" t="str">
        <f aca="false">IF(C13="","",IF(E13&gt;=1,"OK","Needs at least 1 main use case"))</f>
        <v>OK</v>
      </c>
    </row>
    <row r="16" customFormat="false" ht="15" hidden="false" customHeight="false" outlineLevel="0" collapsed="false">
      <c r="A16" s="3" t="s">
        <v>92</v>
      </c>
    </row>
    <row r="17" customFormat="false" ht="33.75" hidden="false" customHeight="true" outlineLevel="0" collapsed="false">
      <c r="A17" s="8" t="s">
        <v>93</v>
      </c>
      <c r="B17" s="13" t="s">
        <v>94</v>
      </c>
      <c r="C17" s="13" t="s">
        <v>95</v>
      </c>
      <c r="D17" s="13" t="s">
        <v>96</v>
      </c>
      <c r="E17" s="13" t="s">
        <v>97</v>
      </c>
      <c r="F17" s="13" t="s">
        <v>98</v>
      </c>
      <c r="G17" s="14" t="s">
        <v>99</v>
      </c>
    </row>
    <row r="18" customFormat="false" ht="36" hidden="false" customHeight="true" outlineLevel="0" collapsed="false">
      <c r="A18" s="15" t="s">
        <v>100</v>
      </c>
      <c r="B18" s="5" t="s">
        <v>101</v>
      </c>
      <c r="C18" s="5" t="s">
        <v>102</v>
      </c>
      <c r="D18" s="5" t="s">
        <v>103</v>
      </c>
      <c r="E18" s="5" t="s">
        <v>104</v>
      </c>
      <c r="F18" s="5" t="s">
        <v>82</v>
      </c>
      <c r="G18" s="7"/>
    </row>
    <row r="19" customFormat="false" ht="24" hidden="false" customHeight="true" outlineLevel="0" collapsed="false">
      <c r="A19" s="15" t="s">
        <v>105</v>
      </c>
      <c r="B19" s="5" t="s">
        <v>106</v>
      </c>
      <c r="C19" s="5" t="s">
        <v>107</v>
      </c>
      <c r="D19" s="5" t="s">
        <v>108</v>
      </c>
      <c r="E19" s="5" t="s">
        <v>104</v>
      </c>
      <c r="F19" s="5" t="s">
        <v>86</v>
      </c>
      <c r="G19" s="7"/>
    </row>
    <row r="20" customFormat="false" ht="24" hidden="false" customHeight="true" outlineLevel="0" collapsed="false">
      <c r="A20" s="15" t="s">
        <v>109</v>
      </c>
      <c r="B20" s="5" t="s">
        <v>110</v>
      </c>
      <c r="C20" s="5" t="s">
        <v>111</v>
      </c>
      <c r="D20" s="5" t="s">
        <v>112</v>
      </c>
      <c r="E20" s="5" t="s">
        <v>104</v>
      </c>
      <c r="F20" s="5" t="s">
        <v>90</v>
      </c>
      <c r="G20" s="7"/>
    </row>
    <row r="21" customFormat="false" ht="24" hidden="false" customHeight="true" outlineLevel="0" collapsed="false">
      <c r="A21" s="15" t="s">
        <v>113</v>
      </c>
      <c r="B21" s="5" t="s">
        <v>114</v>
      </c>
      <c r="C21" s="5" t="s">
        <v>115</v>
      </c>
      <c r="D21" s="5" t="s">
        <v>116</v>
      </c>
      <c r="E21" s="5" t="s">
        <v>104</v>
      </c>
      <c r="F21" s="5" t="s">
        <v>82</v>
      </c>
      <c r="G21" s="7"/>
    </row>
    <row r="22" customFormat="false" ht="24" hidden="false" customHeight="true" outlineLevel="0" collapsed="false">
      <c r="A22" s="15" t="s">
        <v>117</v>
      </c>
      <c r="B22" s="5" t="s">
        <v>118</v>
      </c>
      <c r="C22" s="5" t="s">
        <v>119</v>
      </c>
      <c r="D22" s="5" t="s">
        <v>120</v>
      </c>
      <c r="E22" s="5" t="s">
        <v>104</v>
      </c>
      <c r="F22" s="5" t="s">
        <v>86</v>
      </c>
      <c r="G22" s="7"/>
    </row>
    <row r="23" customFormat="false" ht="36" hidden="false" customHeight="true" outlineLevel="0" collapsed="false">
      <c r="A23" s="15" t="s">
        <v>121</v>
      </c>
      <c r="B23" s="5" t="s">
        <v>122</v>
      </c>
      <c r="C23" s="5" t="s">
        <v>123</v>
      </c>
      <c r="D23" s="5" t="s">
        <v>124</v>
      </c>
      <c r="E23" s="5" t="s">
        <v>104</v>
      </c>
      <c r="F23" s="5" t="s">
        <v>90</v>
      </c>
      <c r="G23" s="7"/>
    </row>
    <row r="24" customFormat="false" ht="31.5" hidden="false" customHeight="true" outlineLevel="0" collapsed="false">
      <c r="A24" s="15" t="s">
        <v>125</v>
      </c>
      <c r="B24" s="5"/>
      <c r="C24" s="5"/>
      <c r="D24" s="5"/>
      <c r="E24" s="5"/>
      <c r="F24" s="5"/>
      <c r="G24" s="7"/>
    </row>
    <row r="25" customFormat="false" ht="31.5" hidden="false" customHeight="true" outlineLevel="0" collapsed="false">
      <c r="A25" s="15" t="s">
        <v>126</v>
      </c>
      <c r="B25" s="5"/>
      <c r="C25" s="5"/>
      <c r="D25" s="5"/>
      <c r="E25" s="5"/>
      <c r="F25" s="5"/>
      <c r="G25" s="7"/>
    </row>
    <row r="27" customFormat="false" ht="15" hidden="false" customHeight="true" outlineLevel="0" collapsed="false">
      <c r="A27" s="10" t="s">
        <v>127</v>
      </c>
      <c r="B27" s="10"/>
      <c r="C27" s="10"/>
      <c r="D27" s="12" t="str">
        <f aca="false">IF(SUMPRODUCT((ISNUMBER(SEARCH("Place and Manage Orders",B18:B25)))*(F18:F25&lt;&gt;""))&gt;0,"OK","Missing owner")</f>
        <v>OK</v>
      </c>
    </row>
    <row r="28" customFormat="false" ht="15" hidden="false" customHeight="true" outlineLevel="0" collapsed="false">
      <c r="A28" s="10" t="s">
        <v>128</v>
      </c>
      <c r="B28" s="10"/>
      <c r="C28" s="10"/>
      <c r="D28" s="5" t="s">
        <v>82</v>
      </c>
    </row>
    <row r="29" customFormat="false" ht="15" hidden="false" customHeight="false" outlineLevel="0" collapsed="false">
      <c r="A29" s="16" t="s">
        <v>129</v>
      </c>
    </row>
    <row r="35" customFormat="false" ht="15" hidden="false" customHeight="false" outlineLevel="0" collapsed="false">
      <c r="A35" s="3" t="s">
        <v>130</v>
      </c>
    </row>
    <row r="36" customFormat="false" ht="15" hidden="false" customHeight="true" outlineLevel="0" collapsed="false">
      <c r="A36" s="8" t="s">
        <v>131</v>
      </c>
      <c r="B36" s="8" t="s">
        <v>132</v>
      </c>
      <c r="C36" s="8" t="s">
        <v>133</v>
      </c>
      <c r="D36" s="8"/>
      <c r="E36" s="8"/>
      <c r="F36" s="8"/>
      <c r="G36" s="8"/>
    </row>
    <row r="37" customFormat="false" ht="15" hidden="false" customHeight="true" outlineLevel="0" collapsed="false">
      <c r="A37" s="9" t="s">
        <v>134</v>
      </c>
      <c r="B37" s="17" t="n">
        <v>7</v>
      </c>
      <c r="C37" s="6" t="s">
        <v>135</v>
      </c>
      <c r="D37" s="6"/>
      <c r="E37" s="6"/>
      <c r="F37" s="6"/>
      <c r="G37" s="6"/>
    </row>
    <row r="38" customFormat="false" ht="15" hidden="false" customHeight="true" outlineLevel="0" collapsed="false">
      <c r="A38" s="9" t="s">
        <v>136</v>
      </c>
      <c r="B38" s="17" t="n">
        <v>7.5</v>
      </c>
      <c r="C38" s="6" t="s">
        <v>137</v>
      </c>
      <c r="D38" s="6"/>
      <c r="E38" s="6"/>
      <c r="F38" s="6"/>
      <c r="G38" s="6"/>
    </row>
    <row r="39" customFormat="false" ht="15" hidden="false" customHeight="true" outlineLevel="0" collapsed="false">
      <c r="A39" s="9" t="s">
        <v>138</v>
      </c>
      <c r="B39" s="17" t="n">
        <v>8.5</v>
      </c>
      <c r="C39" s="6" t="s">
        <v>139</v>
      </c>
      <c r="D39" s="6"/>
      <c r="E39" s="6"/>
      <c r="F39" s="6"/>
      <c r="G39" s="6"/>
    </row>
    <row r="40" customFormat="false" ht="15" hidden="false" customHeight="true" outlineLevel="0" collapsed="false">
      <c r="A40" s="9" t="s">
        <v>140</v>
      </c>
      <c r="B40" s="17" t="n">
        <v>9.5</v>
      </c>
      <c r="C40" s="6" t="s">
        <v>141</v>
      </c>
      <c r="D40" s="6"/>
      <c r="E40" s="6"/>
      <c r="F40" s="6"/>
      <c r="G40" s="6"/>
    </row>
    <row r="41" customFormat="false" ht="15" hidden="false" customHeight="true" outlineLevel="0" collapsed="false">
      <c r="A41" s="9" t="s">
        <v>69</v>
      </c>
      <c r="B41" s="17" t="n">
        <v>10</v>
      </c>
      <c r="C41" s="6" t="s">
        <v>142</v>
      </c>
      <c r="D41" s="6"/>
      <c r="E41" s="6"/>
      <c r="F41" s="6"/>
      <c r="G41" s="6"/>
    </row>
  </sheetData>
  <mergeCells count="11">
    <mergeCell ref="B4:C4"/>
    <mergeCell ref="B5:C5"/>
    <mergeCell ref="B7:C7"/>
    <mergeCell ref="A27:C27"/>
    <mergeCell ref="A28:C28"/>
    <mergeCell ref="C36:G36"/>
    <mergeCell ref="C37:G37"/>
    <mergeCell ref="C38:G38"/>
    <mergeCell ref="C39:G39"/>
    <mergeCell ref="C40:G40"/>
    <mergeCell ref="C41:G41"/>
  </mergeCells>
  <conditionalFormatting sqref="G11:G13">
    <cfRule type="expression" priority="2" aboveAverage="0" equalAverage="0" bottom="0" percent="0" rank="0" text="" dxfId="0">
      <formula>G11="Needs at least 1 main use case"</formula>
    </cfRule>
  </conditionalFormatting>
  <conditionalFormatting sqref="D27">
    <cfRule type="expression" priority="3" aboveAverage="0" equalAverage="0" bottom="0" percent="0" rank="0" text="" dxfId="1">
      <formula>D27="Missing owner"</formula>
    </cfRule>
  </conditionalFormatting>
  <dataValidations count="3">
    <dataValidation allowBlank="true" errorStyle="stop" operator="between" showDropDown="false" showErrorMessage="false" showInputMessage="false" sqref="B5 B7" type="list">
      <formula1>"Tier 1,Tier 1B,Tier 2,Tier 3,Tier 4"</formula1>
      <formula2>0</formula2>
    </dataValidation>
    <dataValidation allowBlank="true" error="Choose a value from the list." errorStyle="stop" operator="between" showDropDown="false" showErrorMessage="true" showInputMessage="false" sqref="C18:C25" type="list">
      <formula1>"A,B,C,D,E,F,Own (approved)"</formula1>
      <formula2>0</formula2>
    </dataValidation>
    <dataValidation allowBlank="true" error="Choose a value from the list." errorStyle="stop" operator="between" showDropDown="false" showErrorMessage="true" showInputMessage="false" sqref="E18:E25" type="list">
      <formula1>"Idea,Approved,Designed,Built,Tested"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5" min="3" style="0" width="40"/>
    <col collapsed="false" customWidth="true" hidden="false" outlineLevel="0" max="6" min="6" style="0" width="12"/>
    <col collapsed="false" customWidth="true" hidden="false" outlineLevel="0" max="7" min="7" style="0" width="36"/>
    <col collapsed="false" customWidth="true" hidden="false" outlineLevel="0" max="8" min="8" style="0" width="14"/>
    <col collapsed="false" customWidth="true" hidden="false" outlineLevel="0" max="9" min="9" style="0" width="36"/>
    <col collapsed="false" customWidth="true" hidden="false" outlineLevel="0" max="10" min="10" style="0" width="18"/>
  </cols>
  <sheetData>
    <row r="1" customFormat="false" ht="18.55" hidden="false" customHeight="false" outlineLevel="0" collapsed="false">
      <c r="A1" s="1" t="s">
        <v>143</v>
      </c>
    </row>
    <row r="2" customFormat="false" ht="15" hidden="false" customHeight="false" outlineLevel="0" collapsed="false">
      <c r="A2" s="2" t="s">
        <v>144</v>
      </c>
    </row>
    <row r="4" customFormat="false" ht="48" hidden="false" customHeight="true" outlineLevel="0" collapsed="false">
      <c r="A4" s="8" t="s">
        <v>145</v>
      </c>
      <c r="B4" s="13" t="s">
        <v>146</v>
      </c>
      <c r="C4" s="13" t="s">
        <v>147</v>
      </c>
      <c r="D4" s="13" t="s">
        <v>148</v>
      </c>
      <c r="E4" s="13" t="s">
        <v>149</v>
      </c>
      <c r="F4" s="13" t="s">
        <v>97</v>
      </c>
      <c r="G4" s="14" t="s">
        <v>150</v>
      </c>
      <c r="H4" s="14" t="s">
        <v>151</v>
      </c>
      <c r="I4" s="13" t="s">
        <v>152</v>
      </c>
      <c r="J4" s="13" t="s">
        <v>153</v>
      </c>
    </row>
    <row r="5" customFormat="false" ht="48" hidden="false" customHeight="true" outlineLevel="0" collapsed="false">
      <c r="A5" s="15" t="s">
        <v>154</v>
      </c>
      <c r="B5" s="5" t="s">
        <v>155</v>
      </c>
      <c r="C5" s="5" t="s">
        <v>156</v>
      </c>
      <c r="D5" s="5" t="s">
        <v>157</v>
      </c>
      <c r="E5" s="5" t="s">
        <v>158</v>
      </c>
      <c r="F5" s="5" t="s">
        <v>159</v>
      </c>
      <c r="G5" s="7"/>
      <c r="H5" s="7"/>
      <c r="I5" s="5" t="s">
        <v>158</v>
      </c>
      <c r="J5" s="5" t="s">
        <v>160</v>
      </c>
    </row>
    <row r="6" customFormat="false" ht="48" hidden="false" customHeight="true" outlineLevel="0" collapsed="false">
      <c r="A6" s="15" t="s">
        <v>161</v>
      </c>
      <c r="B6" s="5" t="s">
        <v>155</v>
      </c>
      <c r="C6" s="5" t="s">
        <v>162</v>
      </c>
      <c r="D6" s="5" t="s">
        <v>163</v>
      </c>
      <c r="E6" s="5" t="s">
        <v>164</v>
      </c>
      <c r="F6" s="5" t="s">
        <v>159</v>
      </c>
      <c r="G6" s="7"/>
      <c r="H6" s="7"/>
      <c r="I6" s="5" t="s">
        <v>164</v>
      </c>
      <c r="J6" s="5" t="s">
        <v>165</v>
      </c>
    </row>
    <row r="7" customFormat="false" ht="48" hidden="false" customHeight="true" outlineLevel="0" collapsed="false">
      <c r="A7" s="15" t="s">
        <v>166</v>
      </c>
      <c r="B7" s="5" t="s">
        <v>155</v>
      </c>
      <c r="C7" s="5" t="s">
        <v>167</v>
      </c>
      <c r="D7" s="5" t="s">
        <v>168</v>
      </c>
      <c r="E7" s="5" t="s">
        <v>169</v>
      </c>
      <c r="F7" s="5" t="s">
        <v>159</v>
      </c>
      <c r="G7" s="7"/>
      <c r="H7" s="7"/>
      <c r="I7" s="5" t="s">
        <v>169</v>
      </c>
      <c r="J7" s="5" t="s">
        <v>170</v>
      </c>
    </row>
    <row r="8" customFormat="false" ht="48" hidden="false" customHeight="true" outlineLevel="0" collapsed="false">
      <c r="A8" s="15" t="s">
        <v>171</v>
      </c>
      <c r="B8" s="5" t="s">
        <v>155</v>
      </c>
      <c r="C8" s="5" t="s">
        <v>172</v>
      </c>
      <c r="D8" s="5" t="s">
        <v>173</v>
      </c>
      <c r="E8" s="5" t="s">
        <v>174</v>
      </c>
      <c r="F8" s="5" t="s">
        <v>159</v>
      </c>
      <c r="G8" s="7"/>
      <c r="H8" s="7"/>
      <c r="I8" s="5" t="s">
        <v>174</v>
      </c>
      <c r="J8" s="5" t="s">
        <v>175</v>
      </c>
    </row>
    <row r="9" customFormat="false" ht="60" hidden="false" customHeight="true" outlineLevel="0" collapsed="false">
      <c r="A9" s="15" t="s">
        <v>176</v>
      </c>
      <c r="B9" s="5" t="s">
        <v>155</v>
      </c>
      <c r="C9" s="5" t="s">
        <v>177</v>
      </c>
      <c r="D9" s="5" t="s">
        <v>178</v>
      </c>
      <c r="E9" s="5" t="s">
        <v>179</v>
      </c>
      <c r="F9" s="5" t="s">
        <v>159</v>
      </c>
      <c r="G9" s="7"/>
      <c r="H9" s="7"/>
      <c r="I9" s="5" t="s">
        <v>179</v>
      </c>
      <c r="J9" s="5" t="s">
        <v>180</v>
      </c>
    </row>
    <row r="10" customFormat="false" ht="60" hidden="false" customHeight="true" outlineLevel="0" collapsed="false">
      <c r="A10" s="15" t="s">
        <v>181</v>
      </c>
      <c r="B10" s="5"/>
      <c r="C10" s="5"/>
      <c r="D10" s="5"/>
      <c r="E10" s="5"/>
      <c r="F10" s="5"/>
      <c r="G10" s="7"/>
      <c r="H10" s="7"/>
      <c r="I10" s="5"/>
      <c r="J10" s="5"/>
    </row>
    <row r="11" customFormat="false" ht="60" hidden="false" customHeight="true" outlineLevel="0" collapsed="false">
      <c r="A11" s="15" t="s">
        <v>182</v>
      </c>
      <c r="B11" s="5"/>
      <c r="C11" s="5"/>
      <c r="D11" s="5"/>
      <c r="E11" s="5"/>
      <c r="F11" s="5"/>
      <c r="G11" s="7"/>
      <c r="H11" s="7"/>
      <c r="I11" s="5"/>
      <c r="J11" s="5"/>
    </row>
    <row r="12" customFormat="false" ht="60" hidden="false" customHeight="true" outlineLevel="0" collapsed="false">
      <c r="A12" s="15" t="s">
        <v>183</v>
      </c>
      <c r="B12" s="5"/>
      <c r="C12" s="5"/>
      <c r="D12" s="5"/>
      <c r="E12" s="5"/>
      <c r="F12" s="5"/>
      <c r="G12" s="7"/>
      <c r="H12" s="7"/>
      <c r="I12" s="5"/>
      <c r="J12" s="5"/>
    </row>
    <row r="13" customFormat="false" ht="60" hidden="false" customHeight="true" outlineLevel="0" collapsed="false">
      <c r="A13" s="15" t="s">
        <v>184</v>
      </c>
      <c r="B13" s="5"/>
      <c r="C13" s="5"/>
      <c r="D13" s="5"/>
      <c r="E13" s="5"/>
      <c r="F13" s="5"/>
      <c r="G13" s="7"/>
      <c r="H13" s="7"/>
      <c r="I13" s="5"/>
      <c r="J13" s="5"/>
    </row>
    <row r="14" customFormat="false" ht="60" hidden="false" customHeight="true" outlineLevel="0" collapsed="false">
      <c r="A14" s="15" t="s">
        <v>185</v>
      </c>
      <c r="B14" s="5"/>
      <c r="C14" s="5"/>
      <c r="D14" s="5"/>
      <c r="E14" s="5"/>
      <c r="F14" s="5"/>
      <c r="G14" s="7"/>
      <c r="H14" s="7"/>
      <c r="I14" s="5"/>
      <c r="J14" s="5"/>
    </row>
    <row r="15" customFormat="false" ht="60" hidden="false" customHeight="true" outlineLevel="0" collapsed="false">
      <c r="A15" s="15" t="s">
        <v>186</v>
      </c>
      <c r="B15" s="5"/>
      <c r="C15" s="5"/>
      <c r="D15" s="5"/>
      <c r="E15" s="5"/>
      <c r="F15" s="5"/>
      <c r="G15" s="7"/>
      <c r="H15" s="7"/>
      <c r="I15" s="5"/>
      <c r="J15" s="5"/>
    </row>
    <row r="16" customFormat="false" ht="60" hidden="false" customHeight="true" outlineLevel="0" collapsed="false">
      <c r="A16" s="15" t="s">
        <v>187</v>
      </c>
      <c r="B16" s="5"/>
      <c r="C16" s="5"/>
      <c r="D16" s="5"/>
      <c r="E16" s="5"/>
      <c r="F16" s="5"/>
      <c r="G16" s="7"/>
      <c r="H16" s="7"/>
      <c r="I16" s="5"/>
      <c r="J16" s="5"/>
    </row>
    <row r="17" customFormat="false" ht="60" hidden="false" customHeight="true" outlineLevel="0" collapsed="false">
      <c r="A17" s="15" t="s">
        <v>188</v>
      </c>
      <c r="B17" s="5"/>
      <c r="C17" s="5"/>
      <c r="D17" s="5"/>
      <c r="E17" s="5"/>
      <c r="F17" s="5"/>
      <c r="G17" s="7"/>
      <c r="H17" s="7"/>
      <c r="I17" s="5"/>
      <c r="J17" s="5"/>
    </row>
    <row r="18" customFormat="false" ht="60" hidden="false" customHeight="true" outlineLevel="0" collapsed="false">
      <c r="A18" s="15" t="s">
        <v>189</v>
      </c>
      <c r="B18" s="5"/>
      <c r="C18" s="5"/>
      <c r="D18" s="5"/>
      <c r="E18" s="5"/>
      <c r="F18" s="5"/>
      <c r="G18" s="7"/>
      <c r="H18" s="7"/>
      <c r="I18" s="5"/>
      <c r="J18" s="5"/>
    </row>
    <row r="19" customFormat="false" ht="60" hidden="false" customHeight="true" outlineLevel="0" collapsed="false">
      <c r="A19" s="15" t="s">
        <v>190</v>
      </c>
      <c r="B19" s="5"/>
      <c r="C19" s="5"/>
      <c r="D19" s="5"/>
      <c r="E19" s="5"/>
      <c r="F19" s="5"/>
      <c r="G19" s="7"/>
      <c r="H19" s="7"/>
      <c r="I19" s="5"/>
      <c r="J19" s="5"/>
    </row>
    <row r="21" customFormat="false" ht="15" hidden="false" customHeight="false" outlineLevel="0" collapsed="false">
      <c r="C21" s="10" t="s">
        <v>191</v>
      </c>
      <c r="D21" s="12" t="n">
        <f aca="false">COUNTA(C5:C19)</f>
        <v>5</v>
      </c>
    </row>
    <row r="22" customFormat="false" ht="15" hidden="false" customHeight="false" outlineLevel="0" collapsed="false">
      <c r="C22" s="10" t="s">
        <v>192</v>
      </c>
      <c r="D22" s="12" t="str">
        <f aca="false">IF(D21&gt;=3,"OK","Need at least 3")</f>
        <v>OK</v>
      </c>
    </row>
  </sheetData>
  <conditionalFormatting sqref="D22">
    <cfRule type="expression" priority="2" aboveAverage="0" equalAverage="0" bottom="0" percent="0" rank="0" text="" dxfId="2">
      <formula>D22&lt;&gt;"OK"</formula>
    </cfRule>
  </conditionalFormatting>
  <dataValidations count="2">
    <dataValidation allowBlank="true" error="Choose a value from the list." errorStyle="stop" operator="between" showDropDown="false" showErrorMessage="true" showInputMessage="false" sqref="B5:B19" type="list">
      <formula1>"Ambiguity,Gap,Conflict,Other"</formula1>
      <formula2>0</formula2>
    </dataValidation>
    <dataValidation allowBlank="true" error="Choose a value from the list." errorStyle="stop" operator="between" showDropDown="false" showErrorMessage="true" showInputMessage="false" sqref="F5:F19" type="list">
      <formula1>"Draft,Asked,Answered,Closed"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8"/>
    <col collapsed="false" customWidth="true" hidden="false" outlineLevel="0" max="4" min="4" style="0" width="12"/>
    <col collapsed="false" customWidth="true" hidden="false" outlineLevel="0" max="7" min="5" style="0" width="14"/>
    <col collapsed="false" customWidth="true" hidden="false" outlineLevel="0" max="8" min="8" style="0" width="12"/>
    <col collapsed="false" customWidth="true" hidden="false" outlineLevel="0" max="10" min="9" style="0" width="34"/>
    <col collapsed="false" customWidth="true" hidden="false" outlineLevel="0" max="11" min="11" style="0" width="12"/>
  </cols>
  <sheetData>
    <row r="1" customFormat="false" ht="18.55" hidden="false" customHeight="false" outlineLevel="0" collapsed="false">
      <c r="A1" s="1" t="s">
        <v>28</v>
      </c>
    </row>
    <row r="2" customFormat="false" ht="15" hidden="false" customHeight="false" outlineLevel="0" collapsed="false">
      <c r="A2" s="2" t="s">
        <v>193</v>
      </c>
    </row>
    <row r="4" customFormat="false" ht="33.75" hidden="false" customHeight="true" outlineLevel="0" collapsed="false">
      <c r="A4" s="8" t="s">
        <v>145</v>
      </c>
      <c r="B4" s="13" t="s">
        <v>194</v>
      </c>
      <c r="C4" s="13" t="s">
        <v>146</v>
      </c>
      <c r="D4" s="13" t="s">
        <v>195</v>
      </c>
      <c r="E4" s="13" t="s">
        <v>94</v>
      </c>
      <c r="F4" s="13" t="s">
        <v>196</v>
      </c>
      <c r="G4" s="13" t="s">
        <v>197</v>
      </c>
      <c r="H4" s="13" t="s">
        <v>198</v>
      </c>
      <c r="I4" s="13" t="s">
        <v>199</v>
      </c>
      <c r="J4" s="14" t="s">
        <v>99</v>
      </c>
      <c r="K4" s="13" t="s">
        <v>97</v>
      </c>
    </row>
    <row r="5" customFormat="false" ht="36" hidden="false" customHeight="true" outlineLevel="0" collapsed="false">
      <c r="A5" s="15" t="s">
        <v>200</v>
      </c>
      <c r="B5" s="5" t="s">
        <v>201</v>
      </c>
      <c r="C5" s="5" t="s">
        <v>202</v>
      </c>
      <c r="D5" s="5" t="s">
        <v>203</v>
      </c>
      <c r="E5" s="5" t="s">
        <v>107</v>
      </c>
      <c r="F5" s="5" t="s">
        <v>204</v>
      </c>
      <c r="G5" s="5" t="s">
        <v>205</v>
      </c>
      <c r="H5" s="5" t="s">
        <v>86</v>
      </c>
      <c r="I5" s="5" t="s">
        <v>206</v>
      </c>
      <c r="J5" s="7"/>
      <c r="K5" s="5" t="s">
        <v>159</v>
      </c>
    </row>
    <row r="6" customFormat="false" ht="24" hidden="false" customHeight="true" outlineLevel="0" collapsed="false">
      <c r="A6" s="15" t="s">
        <v>207</v>
      </c>
      <c r="B6" s="5" t="s">
        <v>208</v>
      </c>
      <c r="C6" s="5" t="s">
        <v>202</v>
      </c>
      <c r="D6" s="5" t="s">
        <v>203</v>
      </c>
      <c r="E6" s="5" t="s">
        <v>107</v>
      </c>
      <c r="F6" s="5" t="s">
        <v>204</v>
      </c>
      <c r="G6" s="5" t="s">
        <v>205</v>
      </c>
      <c r="H6" s="5" t="s">
        <v>86</v>
      </c>
      <c r="I6" s="5" t="s">
        <v>209</v>
      </c>
      <c r="J6" s="7"/>
      <c r="K6" s="5" t="s">
        <v>159</v>
      </c>
    </row>
    <row r="7" customFormat="false" ht="24" hidden="false" customHeight="true" outlineLevel="0" collapsed="false">
      <c r="A7" s="15" t="s">
        <v>210</v>
      </c>
      <c r="B7" s="5" t="s">
        <v>211</v>
      </c>
      <c r="C7" s="5" t="s">
        <v>202</v>
      </c>
      <c r="D7" s="5" t="s">
        <v>203</v>
      </c>
      <c r="E7" s="5" t="s">
        <v>107</v>
      </c>
      <c r="F7" s="5" t="s">
        <v>204</v>
      </c>
      <c r="G7" s="5" t="s">
        <v>205</v>
      </c>
      <c r="H7" s="5" t="s">
        <v>86</v>
      </c>
      <c r="I7" s="5" t="s">
        <v>212</v>
      </c>
      <c r="J7" s="7"/>
      <c r="K7" s="5" t="s">
        <v>159</v>
      </c>
    </row>
    <row r="8" customFormat="false" ht="24" hidden="false" customHeight="true" outlineLevel="0" collapsed="false">
      <c r="A8" s="15" t="s">
        <v>213</v>
      </c>
      <c r="B8" s="5" t="s">
        <v>214</v>
      </c>
      <c r="C8" s="5" t="s">
        <v>202</v>
      </c>
      <c r="D8" s="5" t="s">
        <v>203</v>
      </c>
      <c r="E8" s="5" t="s">
        <v>107</v>
      </c>
      <c r="F8" s="5" t="s">
        <v>204</v>
      </c>
      <c r="G8" s="5" t="s">
        <v>205</v>
      </c>
      <c r="H8" s="5" t="s">
        <v>86</v>
      </c>
      <c r="I8" s="5" t="s">
        <v>215</v>
      </c>
      <c r="J8" s="7"/>
      <c r="K8" s="5" t="s">
        <v>159</v>
      </c>
    </row>
    <row r="9" customFormat="false" ht="24" hidden="false" customHeight="true" outlineLevel="0" collapsed="false">
      <c r="A9" s="15" t="s">
        <v>216</v>
      </c>
      <c r="B9" s="5" t="s">
        <v>217</v>
      </c>
      <c r="C9" s="5" t="s">
        <v>202</v>
      </c>
      <c r="D9" s="5" t="s">
        <v>203</v>
      </c>
      <c r="E9" s="5" t="s">
        <v>107</v>
      </c>
      <c r="F9" s="5" t="s">
        <v>204</v>
      </c>
      <c r="G9" s="5" t="s">
        <v>205</v>
      </c>
      <c r="H9" s="5" t="s">
        <v>86</v>
      </c>
      <c r="I9" s="5" t="s">
        <v>218</v>
      </c>
      <c r="J9" s="7"/>
      <c r="K9" s="5" t="s">
        <v>159</v>
      </c>
    </row>
    <row r="10" customFormat="false" ht="24" hidden="false" customHeight="true" outlineLevel="0" collapsed="false">
      <c r="A10" s="15" t="s">
        <v>219</v>
      </c>
      <c r="B10" s="5" t="s">
        <v>220</v>
      </c>
      <c r="C10" s="5" t="s">
        <v>202</v>
      </c>
      <c r="D10" s="5" t="s">
        <v>203</v>
      </c>
      <c r="E10" s="5" t="s">
        <v>107</v>
      </c>
      <c r="F10" s="5" t="s">
        <v>204</v>
      </c>
      <c r="G10" s="5" t="s">
        <v>205</v>
      </c>
      <c r="H10" s="5" t="s">
        <v>86</v>
      </c>
      <c r="I10" s="5" t="s">
        <v>221</v>
      </c>
      <c r="J10" s="7"/>
      <c r="K10" s="5" t="s">
        <v>159</v>
      </c>
    </row>
    <row r="11" customFormat="false" ht="24" hidden="false" customHeight="true" outlineLevel="0" collapsed="false">
      <c r="A11" s="15" t="s">
        <v>222</v>
      </c>
      <c r="B11" s="5" t="s">
        <v>223</v>
      </c>
      <c r="C11" s="5" t="s">
        <v>202</v>
      </c>
      <c r="D11" s="5" t="s">
        <v>203</v>
      </c>
      <c r="E11" s="5" t="s">
        <v>111</v>
      </c>
      <c r="F11" s="5" t="s">
        <v>224</v>
      </c>
      <c r="G11" s="5" t="s">
        <v>205</v>
      </c>
      <c r="H11" s="5" t="s">
        <v>90</v>
      </c>
      <c r="I11" s="5" t="s">
        <v>225</v>
      </c>
      <c r="J11" s="7"/>
      <c r="K11" s="5" t="s">
        <v>159</v>
      </c>
    </row>
    <row r="12" customFormat="false" ht="36" hidden="false" customHeight="true" outlineLevel="0" collapsed="false">
      <c r="A12" s="15" t="s">
        <v>226</v>
      </c>
      <c r="B12" s="5" t="s">
        <v>227</v>
      </c>
      <c r="C12" s="5" t="s">
        <v>202</v>
      </c>
      <c r="D12" s="5" t="s">
        <v>203</v>
      </c>
      <c r="E12" s="5" t="s">
        <v>111</v>
      </c>
      <c r="F12" s="5" t="s">
        <v>224</v>
      </c>
      <c r="G12" s="5" t="s">
        <v>205</v>
      </c>
      <c r="H12" s="5" t="s">
        <v>90</v>
      </c>
      <c r="I12" s="5" t="s">
        <v>228</v>
      </c>
      <c r="J12" s="7"/>
      <c r="K12" s="5" t="s">
        <v>159</v>
      </c>
    </row>
    <row r="13" customFormat="false" ht="36" hidden="false" customHeight="true" outlineLevel="0" collapsed="false">
      <c r="A13" s="15" t="s">
        <v>229</v>
      </c>
      <c r="B13" s="5" t="s">
        <v>230</v>
      </c>
      <c r="C13" s="5" t="s">
        <v>202</v>
      </c>
      <c r="D13" s="5" t="s">
        <v>203</v>
      </c>
      <c r="E13" s="5" t="s">
        <v>111</v>
      </c>
      <c r="F13" s="5" t="s">
        <v>224</v>
      </c>
      <c r="G13" s="5" t="s">
        <v>205</v>
      </c>
      <c r="H13" s="5" t="s">
        <v>90</v>
      </c>
      <c r="I13" s="5" t="s">
        <v>231</v>
      </c>
      <c r="J13" s="7"/>
      <c r="K13" s="5" t="s">
        <v>159</v>
      </c>
    </row>
    <row r="14" customFormat="false" ht="24" hidden="false" customHeight="true" outlineLevel="0" collapsed="false">
      <c r="A14" s="15" t="s">
        <v>232</v>
      </c>
      <c r="B14" s="5" t="s">
        <v>233</v>
      </c>
      <c r="C14" s="5" t="s">
        <v>202</v>
      </c>
      <c r="D14" s="5" t="s">
        <v>203</v>
      </c>
      <c r="E14" s="5" t="s">
        <v>111</v>
      </c>
      <c r="F14" s="5" t="s">
        <v>224</v>
      </c>
      <c r="G14" s="5" t="s">
        <v>205</v>
      </c>
      <c r="H14" s="5" t="s">
        <v>90</v>
      </c>
      <c r="I14" s="5" t="s">
        <v>234</v>
      </c>
      <c r="J14" s="7"/>
      <c r="K14" s="5" t="s">
        <v>159</v>
      </c>
    </row>
    <row r="15" customFormat="false" ht="24" hidden="false" customHeight="true" outlineLevel="0" collapsed="false">
      <c r="A15" s="15" t="s">
        <v>235</v>
      </c>
      <c r="B15" s="5" t="s">
        <v>236</v>
      </c>
      <c r="C15" s="5" t="s">
        <v>202</v>
      </c>
      <c r="D15" s="5" t="s">
        <v>203</v>
      </c>
      <c r="E15" s="5" t="s">
        <v>111</v>
      </c>
      <c r="F15" s="5" t="s">
        <v>224</v>
      </c>
      <c r="G15" s="5" t="s">
        <v>205</v>
      </c>
      <c r="H15" s="5" t="s">
        <v>90</v>
      </c>
      <c r="I15" s="5" t="s">
        <v>237</v>
      </c>
      <c r="J15" s="7"/>
      <c r="K15" s="5" t="s">
        <v>159</v>
      </c>
    </row>
    <row r="16" customFormat="false" ht="36" hidden="false" customHeight="true" outlineLevel="0" collapsed="false">
      <c r="A16" s="15" t="s">
        <v>238</v>
      </c>
      <c r="B16" s="5" t="s">
        <v>239</v>
      </c>
      <c r="C16" s="5" t="s">
        <v>202</v>
      </c>
      <c r="D16" s="5" t="s">
        <v>203</v>
      </c>
      <c r="E16" s="5" t="s">
        <v>115</v>
      </c>
      <c r="F16" s="5" t="s">
        <v>240</v>
      </c>
      <c r="G16" s="5" t="s">
        <v>205</v>
      </c>
      <c r="H16" s="5" t="s">
        <v>82</v>
      </c>
      <c r="I16" s="5" t="s">
        <v>241</v>
      </c>
      <c r="J16" s="7"/>
      <c r="K16" s="5" t="s">
        <v>159</v>
      </c>
    </row>
    <row r="17" customFormat="false" ht="24" hidden="false" customHeight="true" outlineLevel="0" collapsed="false">
      <c r="A17" s="15" t="s">
        <v>242</v>
      </c>
      <c r="B17" s="5" t="s">
        <v>243</v>
      </c>
      <c r="C17" s="5" t="s">
        <v>202</v>
      </c>
      <c r="D17" s="5" t="s">
        <v>203</v>
      </c>
      <c r="E17" s="5" t="s">
        <v>115</v>
      </c>
      <c r="F17" s="5" t="s">
        <v>240</v>
      </c>
      <c r="G17" s="5" t="s">
        <v>205</v>
      </c>
      <c r="H17" s="5" t="s">
        <v>82</v>
      </c>
      <c r="I17" s="5" t="s">
        <v>244</v>
      </c>
      <c r="J17" s="7"/>
      <c r="K17" s="5" t="s">
        <v>159</v>
      </c>
    </row>
    <row r="18" customFormat="false" ht="36" hidden="false" customHeight="true" outlineLevel="0" collapsed="false">
      <c r="A18" s="15" t="s">
        <v>245</v>
      </c>
      <c r="B18" s="5" t="s">
        <v>246</v>
      </c>
      <c r="C18" s="5" t="s">
        <v>202</v>
      </c>
      <c r="D18" s="5" t="s">
        <v>203</v>
      </c>
      <c r="E18" s="5" t="s">
        <v>115</v>
      </c>
      <c r="F18" s="5" t="s">
        <v>240</v>
      </c>
      <c r="G18" s="5" t="s">
        <v>205</v>
      </c>
      <c r="H18" s="5" t="s">
        <v>82</v>
      </c>
      <c r="I18" s="5" t="s">
        <v>247</v>
      </c>
      <c r="J18" s="7"/>
      <c r="K18" s="5" t="s">
        <v>159</v>
      </c>
    </row>
    <row r="19" customFormat="false" ht="24" hidden="false" customHeight="true" outlineLevel="0" collapsed="false">
      <c r="A19" s="15" t="s">
        <v>248</v>
      </c>
      <c r="B19" s="5" t="s">
        <v>249</v>
      </c>
      <c r="C19" s="5" t="s">
        <v>202</v>
      </c>
      <c r="D19" s="5" t="s">
        <v>203</v>
      </c>
      <c r="E19" s="5" t="s">
        <v>102</v>
      </c>
      <c r="F19" s="5" t="s">
        <v>204</v>
      </c>
      <c r="G19" s="5" t="s">
        <v>205</v>
      </c>
      <c r="H19" s="5" t="s">
        <v>82</v>
      </c>
      <c r="I19" s="5" t="s">
        <v>250</v>
      </c>
      <c r="J19" s="7"/>
      <c r="K19" s="5" t="s">
        <v>159</v>
      </c>
    </row>
    <row r="20" customFormat="false" ht="24" hidden="false" customHeight="true" outlineLevel="0" collapsed="false">
      <c r="A20" s="15" t="s">
        <v>251</v>
      </c>
      <c r="B20" s="5" t="s">
        <v>252</v>
      </c>
      <c r="C20" s="5" t="s">
        <v>202</v>
      </c>
      <c r="D20" s="5" t="s">
        <v>203</v>
      </c>
      <c r="E20" s="5" t="s">
        <v>102</v>
      </c>
      <c r="F20" s="5" t="s">
        <v>253</v>
      </c>
      <c r="G20" s="5" t="s">
        <v>205</v>
      </c>
      <c r="H20" s="5" t="s">
        <v>82</v>
      </c>
      <c r="I20" s="5" t="s">
        <v>254</v>
      </c>
      <c r="J20" s="7"/>
      <c r="K20" s="5" t="s">
        <v>159</v>
      </c>
    </row>
    <row r="21" customFormat="false" ht="24" hidden="false" customHeight="true" outlineLevel="0" collapsed="false">
      <c r="A21" s="15" t="s">
        <v>255</v>
      </c>
      <c r="B21" s="5" t="s">
        <v>256</v>
      </c>
      <c r="C21" s="5" t="s">
        <v>202</v>
      </c>
      <c r="D21" s="5" t="s">
        <v>203</v>
      </c>
      <c r="E21" s="5" t="s">
        <v>102</v>
      </c>
      <c r="F21" s="5" t="s">
        <v>257</v>
      </c>
      <c r="G21" s="5" t="s">
        <v>205</v>
      </c>
      <c r="H21" s="5" t="s">
        <v>82</v>
      </c>
      <c r="I21" s="5" t="s">
        <v>258</v>
      </c>
      <c r="J21" s="7"/>
      <c r="K21" s="5" t="s">
        <v>159</v>
      </c>
    </row>
    <row r="22" customFormat="false" ht="24" hidden="false" customHeight="true" outlineLevel="0" collapsed="false">
      <c r="A22" s="15" t="s">
        <v>259</v>
      </c>
      <c r="B22" s="5" t="s">
        <v>260</v>
      </c>
      <c r="C22" s="5" t="s">
        <v>202</v>
      </c>
      <c r="D22" s="5" t="s">
        <v>203</v>
      </c>
      <c r="E22" s="5" t="s">
        <v>102</v>
      </c>
      <c r="F22" s="5" t="s">
        <v>261</v>
      </c>
      <c r="G22" s="5" t="s">
        <v>205</v>
      </c>
      <c r="H22" s="5" t="s">
        <v>82</v>
      </c>
      <c r="I22" s="5" t="s">
        <v>262</v>
      </c>
      <c r="J22" s="7"/>
      <c r="K22" s="5" t="s">
        <v>159</v>
      </c>
    </row>
    <row r="23" customFormat="false" ht="36" hidden="false" customHeight="true" outlineLevel="0" collapsed="false">
      <c r="A23" s="15" t="s">
        <v>263</v>
      </c>
      <c r="B23" s="5" t="s">
        <v>264</v>
      </c>
      <c r="C23" s="5" t="s">
        <v>202</v>
      </c>
      <c r="D23" s="5" t="s">
        <v>203</v>
      </c>
      <c r="E23" s="5" t="s">
        <v>102</v>
      </c>
      <c r="F23" s="5" t="s">
        <v>265</v>
      </c>
      <c r="G23" s="5" t="s">
        <v>205</v>
      </c>
      <c r="H23" s="5" t="s">
        <v>82</v>
      </c>
      <c r="I23" s="5" t="s">
        <v>266</v>
      </c>
      <c r="J23" s="7"/>
      <c r="K23" s="5" t="s">
        <v>159</v>
      </c>
    </row>
    <row r="24" customFormat="false" ht="36" hidden="false" customHeight="true" outlineLevel="0" collapsed="false">
      <c r="A24" s="15" t="s">
        <v>267</v>
      </c>
      <c r="B24" s="5" t="s">
        <v>268</v>
      </c>
      <c r="C24" s="5" t="s">
        <v>202</v>
      </c>
      <c r="D24" s="5" t="s">
        <v>203</v>
      </c>
      <c r="E24" s="5" t="s">
        <v>102</v>
      </c>
      <c r="F24" s="5" t="s">
        <v>269</v>
      </c>
      <c r="G24" s="5" t="s">
        <v>205</v>
      </c>
      <c r="H24" s="5" t="s">
        <v>82</v>
      </c>
      <c r="I24" s="5" t="s">
        <v>270</v>
      </c>
      <c r="J24" s="7"/>
      <c r="K24" s="5" t="s">
        <v>159</v>
      </c>
    </row>
    <row r="25" customFormat="false" ht="36" hidden="false" customHeight="true" outlineLevel="0" collapsed="false">
      <c r="A25" s="15" t="s">
        <v>271</v>
      </c>
      <c r="B25" s="5" t="s">
        <v>272</v>
      </c>
      <c r="C25" s="5" t="s">
        <v>202</v>
      </c>
      <c r="D25" s="5" t="s">
        <v>203</v>
      </c>
      <c r="E25" s="5" t="s">
        <v>102</v>
      </c>
      <c r="F25" s="5" t="s">
        <v>273</v>
      </c>
      <c r="G25" s="5" t="s">
        <v>205</v>
      </c>
      <c r="H25" s="5" t="s">
        <v>82</v>
      </c>
      <c r="I25" s="5" t="s">
        <v>274</v>
      </c>
      <c r="J25" s="7"/>
      <c r="K25" s="5" t="s">
        <v>159</v>
      </c>
    </row>
    <row r="26" customFormat="false" ht="24" hidden="false" customHeight="true" outlineLevel="0" collapsed="false">
      <c r="A26" s="15" t="s">
        <v>275</v>
      </c>
      <c r="B26" s="5" t="s">
        <v>276</v>
      </c>
      <c r="C26" s="5" t="s">
        <v>202</v>
      </c>
      <c r="D26" s="5" t="s">
        <v>203</v>
      </c>
      <c r="E26" s="5" t="s">
        <v>102</v>
      </c>
      <c r="F26" s="5" t="s">
        <v>277</v>
      </c>
      <c r="G26" s="5" t="s">
        <v>205</v>
      </c>
      <c r="H26" s="5" t="s">
        <v>82</v>
      </c>
      <c r="I26" s="5" t="s">
        <v>278</v>
      </c>
      <c r="J26" s="7"/>
      <c r="K26" s="5" t="s">
        <v>159</v>
      </c>
    </row>
    <row r="27" customFormat="false" ht="24" hidden="false" customHeight="true" outlineLevel="0" collapsed="false">
      <c r="A27" s="15" t="s">
        <v>279</v>
      </c>
      <c r="B27" s="5" t="s">
        <v>280</v>
      </c>
      <c r="C27" s="5" t="s">
        <v>202</v>
      </c>
      <c r="D27" s="5" t="s">
        <v>203</v>
      </c>
      <c r="E27" s="5" t="s">
        <v>102</v>
      </c>
      <c r="F27" s="5" t="s">
        <v>240</v>
      </c>
      <c r="G27" s="5" t="s">
        <v>205</v>
      </c>
      <c r="H27" s="5" t="s">
        <v>82</v>
      </c>
      <c r="I27" s="5" t="s">
        <v>281</v>
      </c>
      <c r="J27" s="7"/>
      <c r="K27" s="5" t="s">
        <v>159</v>
      </c>
    </row>
    <row r="28" customFormat="false" ht="48" hidden="false" customHeight="true" outlineLevel="0" collapsed="false">
      <c r="A28" s="15" t="s">
        <v>282</v>
      </c>
      <c r="B28" s="5" t="s">
        <v>283</v>
      </c>
      <c r="C28" s="5" t="s">
        <v>202</v>
      </c>
      <c r="D28" s="5" t="s">
        <v>203</v>
      </c>
      <c r="E28" s="5" t="s">
        <v>102</v>
      </c>
      <c r="F28" s="5" t="s">
        <v>284</v>
      </c>
      <c r="G28" s="5" t="s">
        <v>205</v>
      </c>
      <c r="H28" s="5" t="s">
        <v>82</v>
      </c>
      <c r="I28" s="5" t="s">
        <v>285</v>
      </c>
      <c r="J28" s="7"/>
      <c r="K28" s="5" t="s">
        <v>159</v>
      </c>
    </row>
    <row r="29" customFormat="false" ht="36" hidden="false" customHeight="true" outlineLevel="0" collapsed="false">
      <c r="A29" s="15" t="s">
        <v>286</v>
      </c>
      <c r="B29" s="5" t="s">
        <v>287</v>
      </c>
      <c r="C29" s="5" t="s">
        <v>202</v>
      </c>
      <c r="D29" s="5" t="s">
        <v>203</v>
      </c>
      <c r="E29" s="5" t="s">
        <v>102</v>
      </c>
      <c r="F29" s="5" t="s">
        <v>288</v>
      </c>
      <c r="G29" s="5" t="s">
        <v>205</v>
      </c>
      <c r="H29" s="5" t="s">
        <v>82</v>
      </c>
      <c r="I29" s="5" t="s">
        <v>289</v>
      </c>
      <c r="J29" s="7"/>
      <c r="K29" s="5" t="s">
        <v>159</v>
      </c>
    </row>
    <row r="30" customFormat="false" ht="36" hidden="false" customHeight="true" outlineLevel="0" collapsed="false">
      <c r="A30" s="15" t="s">
        <v>290</v>
      </c>
      <c r="B30" s="5" t="s">
        <v>291</v>
      </c>
      <c r="C30" s="5" t="s">
        <v>202</v>
      </c>
      <c r="D30" s="5" t="s">
        <v>203</v>
      </c>
      <c r="E30" s="5" t="s">
        <v>102</v>
      </c>
      <c r="F30" s="5" t="s">
        <v>292</v>
      </c>
      <c r="G30" s="5" t="s">
        <v>205</v>
      </c>
      <c r="H30" s="5" t="s">
        <v>82</v>
      </c>
      <c r="I30" s="5" t="s">
        <v>293</v>
      </c>
      <c r="J30" s="7"/>
      <c r="K30" s="5" t="s">
        <v>159</v>
      </c>
    </row>
    <row r="31" customFormat="false" ht="48" hidden="false" customHeight="true" outlineLevel="0" collapsed="false">
      <c r="A31" s="15" t="s">
        <v>294</v>
      </c>
      <c r="B31" s="5" t="s">
        <v>295</v>
      </c>
      <c r="C31" s="5" t="s">
        <v>202</v>
      </c>
      <c r="D31" s="5" t="s">
        <v>203</v>
      </c>
      <c r="E31" s="5" t="s">
        <v>102</v>
      </c>
      <c r="F31" s="5" t="s">
        <v>296</v>
      </c>
      <c r="G31" s="5" t="s">
        <v>205</v>
      </c>
      <c r="H31" s="5" t="s">
        <v>82</v>
      </c>
      <c r="I31" s="5" t="s">
        <v>297</v>
      </c>
      <c r="J31" s="7"/>
      <c r="K31" s="5" t="s">
        <v>159</v>
      </c>
    </row>
    <row r="32" customFormat="false" ht="24" hidden="false" customHeight="true" outlineLevel="0" collapsed="false">
      <c r="A32" s="15" t="s">
        <v>298</v>
      </c>
      <c r="B32" s="5" t="s">
        <v>299</v>
      </c>
      <c r="C32" s="5" t="s">
        <v>202</v>
      </c>
      <c r="D32" s="5" t="s">
        <v>203</v>
      </c>
      <c r="E32" s="5" t="s">
        <v>102</v>
      </c>
      <c r="F32" s="5" t="s">
        <v>292</v>
      </c>
      <c r="G32" s="5" t="s">
        <v>205</v>
      </c>
      <c r="H32" s="5" t="s">
        <v>82</v>
      </c>
      <c r="I32" s="5" t="s">
        <v>300</v>
      </c>
      <c r="J32" s="7"/>
      <c r="K32" s="5" t="s">
        <v>159</v>
      </c>
    </row>
    <row r="33" customFormat="false" ht="36" hidden="false" customHeight="true" outlineLevel="0" collapsed="false">
      <c r="A33" s="15" t="s">
        <v>301</v>
      </c>
      <c r="B33" s="5" t="s">
        <v>302</v>
      </c>
      <c r="C33" s="5" t="s">
        <v>202</v>
      </c>
      <c r="D33" s="5" t="s">
        <v>203</v>
      </c>
      <c r="E33" s="5" t="s">
        <v>119</v>
      </c>
      <c r="F33" s="5" t="s">
        <v>303</v>
      </c>
      <c r="G33" s="5" t="s">
        <v>205</v>
      </c>
      <c r="H33" s="5" t="s">
        <v>86</v>
      </c>
      <c r="I33" s="5" t="s">
        <v>304</v>
      </c>
      <c r="J33" s="7"/>
      <c r="K33" s="5" t="s">
        <v>159</v>
      </c>
    </row>
    <row r="34" customFormat="false" ht="36" hidden="false" customHeight="true" outlineLevel="0" collapsed="false">
      <c r="A34" s="15" t="s">
        <v>305</v>
      </c>
      <c r="B34" s="5" t="s">
        <v>306</v>
      </c>
      <c r="C34" s="5" t="s">
        <v>202</v>
      </c>
      <c r="D34" s="5" t="s">
        <v>203</v>
      </c>
      <c r="E34" s="5" t="s">
        <v>119</v>
      </c>
      <c r="F34" s="5" t="s">
        <v>303</v>
      </c>
      <c r="G34" s="5" t="s">
        <v>205</v>
      </c>
      <c r="H34" s="5" t="s">
        <v>86</v>
      </c>
      <c r="I34" s="5" t="s">
        <v>307</v>
      </c>
      <c r="J34" s="7"/>
      <c r="K34" s="5" t="s">
        <v>159</v>
      </c>
    </row>
    <row r="35" customFormat="false" ht="24" hidden="false" customHeight="true" outlineLevel="0" collapsed="false">
      <c r="A35" s="15" t="s">
        <v>308</v>
      </c>
      <c r="B35" s="5" t="s">
        <v>309</v>
      </c>
      <c r="C35" s="5" t="s">
        <v>202</v>
      </c>
      <c r="D35" s="5" t="s">
        <v>203</v>
      </c>
      <c r="E35" s="5" t="s">
        <v>119</v>
      </c>
      <c r="F35" s="5" t="s">
        <v>303</v>
      </c>
      <c r="G35" s="5" t="s">
        <v>205</v>
      </c>
      <c r="H35" s="5" t="s">
        <v>86</v>
      </c>
      <c r="I35" s="5" t="s">
        <v>310</v>
      </c>
      <c r="J35" s="7"/>
      <c r="K35" s="5" t="s">
        <v>159</v>
      </c>
    </row>
    <row r="36" customFormat="false" ht="36" hidden="false" customHeight="true" outlineLevel="0" collapsed="false">
      <c r="A36" s="15" t="s">
        <v>311</v>
      </c>
      <c r="B36" s="5" t="s">
        <v>312</v>
      </c>
      <c r="C36" s="5" t="s">
        <v>202</v>
      </c>
      <c r="D36" s="5" t="s">
        <v>203</v>
      </c>
      <c r="E36" s="5" t="s">
        <v>119</v>
      </c>
      <c r="F36" s="5" t="s">
        <v>303</v>
      </c>
      <c r="G36" s="5" t="s">
        <v>205</v>
      </c>
      <c r="H36" s="5" t="s">
        <v>86</v>
      </c>
      <c r="I36" s="5" t="s">
        <v>313</v>
      </c>
      <c r="J36" s="7"/>
      <c r="K36" s="5" t="s">
        <v>159</v>
      </c>
    </row>
    <row r="37" customFormat="false" ht="36" hidden="false" customHeight="true" outlineLevel="0" collapsed="false">
      <c r="A37" s="15" t="s">
        <v>314</v>
      </c>
      <c r="B37" s="5" t="s">
        <v>315</v>
      </c>
      <c r="C37" s="5" t="s">
        <v>202</v>
      </c>
      <c r="D37" s="5" t="s">
        <v>203</v>
      </c>
      <c r="E37" s="5" t="s">
        <v>123</v>
      </c>
      <c r="F37" s="5" t="s">
        <v>316</v>
      </c>
      <c r="G37" s="5" t="s">
        <v>205</v>
      </c>
      <c r="H37" s="5" t="s">
        <v>90</v>
      </c>
      <c r="I37" s="5" t="s">
        <v>317</v>
      </c>
      <c r="J37" s="7"/>
      <c r="K37" s="5" t="s">
        <v>159</v>
      </c>
    </row>
    <row r="38" customFormat="false" ht="36" hidden="false" customHeight="true" outlineLevel="0" collapsed="false">
      <c r="A38" s="15" t="s">
        <v>318</v>
      </c>
      <c r="B38" s="5" t="s">
        <v>319</v>
      </c>
      <c r="C38" s="5" t="s">
        <v>202</v>
      </c>
      <c r="D38" s="5" t="s">
        <v>203</v>
      </c>
      <c r="E38" s="5" t="s">
        <v>123</v>
      </c>
      <c r="F38" s="5" t="s">
        <v>316</v>
      </c>
      <c r="G38" s="5" t="s">
        <v>205</v>
      </c>
      <c r="H38" s="5" t="s">
        <v>90</v>
      </c>
      <c r="I38" s="5" t="s">
        <v>320</v>
      </c>
      <c r="J38" s="7"/>
      <c r="K38" s="5" t="s">
        <v>159</v>
      </c>
    </row>
    <row r="39" customFormat="false" ht="24" hidden="false" customHeight="true" outlineLevel="0" collapsed="false">
      <c r="A39" s="15" t="s">
        <v>321</v>
      </c>
      <c r="B39" s="5" t="s">
        <v>322</v>
      </c>
      <c r="C39" s="5" t="s">
        <v>202</v>
      </c>
      <c r="D39" s="5" t="s">
        <v>203</v>
      </c>
      <c r="E39" s="5" t="s">
        <v>123</v>
      </c>
      <c r="F39" s="5" t="s">
        <v>323</v>
      </c>
      <c r="G39" s="5" t="s">
        <v>205</v>
      </c>
      <c r="H39" s="5" t="s">
        <v>90</v>
      </c>
      <c r="I39" s="5" t="s">
        <v>324</v>
      </c>
      <c r="J39" s="7"/>
      <c r="K39" s="5" t="s">
        <v>159</v>
      </c>
    </row>
    <row r="40" customFormat="false" ht="36" hidden="false" customHeight="true" outlineLevel="0" collapsed="false">
      <c r="A40" s="15" t="s">
        <v>325</v>
      </c>
      <c r="B40" s="5" t="s">
        <v>326</v>
      </c>
      <c r="C40" s="5" t="s">
        <v>202</v>
      </c>
      <c r="D40" s="5" t="s">
        <v>203</v>
      </c>
      <c r="E40" s="5" t="s">
        <v>123</v>
      </c>
      <c r="F40" s="5" t="s">
        <v>327</v>
      </c>
      <c r="G40" s="5" t="s">
        <v>205</v>
      </c>
      <c r="H40" s="5" t="s">
        <v>90</v>
      </c>
      <c r="I40" s="5" t="s">
        <v>328</v>
      </c>
      <c r="J40" s="7"/>
      <c r="K40" s="5" t="s">
        <v>159</v>
      </c>
    </row>
    <row r="41" customFormat="false" ht="36" hidden="false" customHeight="true" outlineLevel="0" collapsed="false">
      <c r="A41" s="15" t="s">
        <v>329</v>
      </c>
      <c r="B41" s="5" t="s">
        <v>330</v>
      </c>
      <c r="C41" s="5" t="s">
        <v>202</v>
      </c>
      <c r="D41" s="5" t="s">
        <v>203</v>
      </c>
      <c r="E41" s="5" t="s">
        <v>102</v>
      </c>
      <c r="F41" s="5" t="s">
        <v>331</v>
      </c>
      <c r="G41" s="5" t="s">
        <v>205</v>
      </c>
      <c r="H41" s="5" t="s">
        <v>82</v>
      </c>
      <c r="I41" s="5" t="s">
        <v>332</v>
      </c>
      <c r="J41" s="7"/>
      <c r="K41" s="5" t="s">
        <v>159</v>
      </c>
    </row>
    <row r="42" customFormat="false" ht="24" hidden="false" customHeight="true" outlineLevel="0" collapsed="false">
      <c r="A42" s="15" t="s">
        <v>333</v>
      </c>
      <c r="B42" s="5" t="s">
        <v>334</v>
      </c>
      <c r="C42" s="5" t="s">
        <v>202</v>
      </c>
      <c r="D42" s="5" t="s">
        <v>203</v>
      </c>
      <c r="E42" s="5" t="s">
        <v>102</v>
      </c>
      <c r="F42" s="5" t="s">
        <v>323</v>
      </c>
      <c r="G42" s="5" t="s">
        <v>205</v>
      </c>
      <c r="H42" s="5" t="s">
        <v>82</v>
      </c>
      <c r="I42" s="5" t="s">
        <v>335</v>
      </c>
      <c r="J42" s="7"/>
      <c r="K42" s="5" t="s">
        <v>159</v>
      </c>
    </row>
    <row r="43" customFormat="false" ht="36" hidden="false" customHeight="true" outlineLevel="0" collapsed="false">
      <c r="A43" s="15" t="s">
        <v>336</v>
      </c>
      <c r="B43" s="5" t="s">
        <v>337</v>
      </c>
      <c r="C43" s="5" t="s">
        <v>202</v>
      </c>
      <c r="D43" s="5" t="s">
        <v>203</v>
      </c>
      <c r="E43" s="5" t="s">
        <v>102</v>
      </c>
      <c r="F43" s="5" t="s">
        <v>331</v>
      </c>
      <c r="G43" s="5" t="s">
        <v>205</v>
      </c>
      <c r="H43" s="5" t="s">
        <v>82</v>
      </c>
      <c r="I43" s="5" t="s">
        <v>338</v>
      </c>
      <c r="J43" s="7"/>
      <c r="K43" s="5" t="s">
        <v>159</v>
      </c>
    </row>
    <row r="44" customFormat="false" ht="48" hidden="false" customHeight="true" outlineLevel="0" collapsed="false">
      <c r="A44" s="15" t="s">
        <v>339</v>
      </c>
      <c r="B44" s="5" t="s">
        <v>340</v>
      </c>
      <c r="C44" s="5" t="s">
        <v>202</v>
      </c>
      <c r="D44" s="5" t="s">
        <v>203</v>
      </c>
      <c r="E44" s="5" t="s">
        <v>102</v>
      </c>
      <c r="F44" s="5" t="s">
        <v>341</v>
      </c>
      <c r="G44" s="5" t="s">
        <v>205</v>
      </c>
      <c r="H44" s="5" t="s">
        <v>82</v>
      </c>
      <c r="I44" s="5" t="s">
        <v>342</v>
      </c>
      <c r="J44" s="7"/>
      <c r="K44" s="5" t="s">
        <v>159</v>
      </c>
    </row>
    <row r="45" customFormat="false" ht="36" hidden="false" customHeight="true" outlineLevel="0" collapsed="false">
      <c r="A45" s="15" t="s">
        <v>343</v>
      </c>
      <c r="B45" s="5" t="s">
        <v>344</v>
      </c>
      <c r="C45" s="5" t="s">
        <v>202</v>
      </c>
      <c r="D45" s="5" t="s">
        <v>203</v>
      </c>
      <c r="E45" s="5" t="s">
        <v>107</v>
      </c>
      <c r="F45" s="5" t="s">
        <v>345</v>
      </c>
      <c r="G45" s="5" t="s">
        <v>345</v>
      </c>
      <c r="H45" s="5" t="s">
        <v>86</v>
      </c>
      <c r="I45" s="5" t="s">
        <v>346</v>
      </c>
      <c r="J45" s="7"/>
      <c r="K45" s="5" t="s">
        <v>159</v>
      </c>
    </row>
    <row r="46" customFormat="false" ht="48" hidden="false" customHeight="true" outlineLevel="0" collapsed="false">
      <c r="A46" s="15" t="s">
        <v>347</v>
      </c>
      <c r="B46" s="5" t="s">
        <v>348</v>
      </c>
      <c r="C46" s="5" t="s">
        <v>202</v>
      </c>
      <c r="D46" s="5" t="s">
        <v>203</v>
      </c>
      <c r="E46" s="5" t="s">
        <v>111</v>
      </c>
      <c r="F46" s="5" t="s">
        <v>349</v>
      </c>
      <c r="G46" s="5" t="s">
        <v>349</v>
      </c>
      <c r="H46" s="5" t="s">
        <v>90</v>
      </c>
      <c r="I46" s="5" t="s">
        <v>350</v>
      </c>
      <c r="J46" s="7"/>
      <c r="K46" s="5" t="s">
        <v>159</v>
      </c>
    </row>
    <row r="47" customFormat="false" ht="24" hidden="false" customHeight="true" outlineLevel="0" collapsed="false">
      <c r="A47" s="15" t="s">
        <v>351</v>
      </c>
      <c r="B47" s="5" t="s">
        <v>352</v>
      </c>
      <c r="C47" s="5" t="s">
        <v>202</v>
      </c>
      <c r="D47" s="5" t="s">
        <v>203</v>
      </c>
      <c r="E47" s="5" t="s">
        <v>119</v>
      </c>
      <c r="F47" s="5" t="s">
        <v>353</v>
      </c>
      <c r="G47" s="5" t="s">
        <v>205</v>
      </c>
      <c r="H47" s="5" t="s">
        <v>86</v>
      </c>
      <c r="I47" s="5" t="s">
        <v>354</v>
      </c>
      <c r="J47" s="7"/>
      <c r="K47" s="5" t="s">
        <v>159</v>
      </c>
    </row>
    <row r="48" customFormat="false" ht="24" hidden="false" customHeight="true" outlineLevel="0" collapsed="false">
      <c r="A48" s="15" t="s">
        <v>355</v>
      </c>
      <c r="B48" s="5" t="s">
        <v>356</v>
      </c>
      <c r="C48" s="5" t="s">
        <v>202</v>
      </c>
      <c r="D48" s="5" t="s">
        <v>203</v>
      </c>
      <c r="E48" s="5" t="s">
        <v>119</v>
      </c>
      <c r="F48" s="5" t="s">
        <v>357</v>
      </c>
      <c r="G48" s="5" t="s">
        <v>205</v>
      </c>
      <c r="H48" s="5" t="s">
        <v>86</v>
      </c>
      <c r="I48" s="5" t="s">
        <v>358</v>
      </c>
      <c r="J48" s="7"/>
      <c r="K48" s="5" t="s">
        <v>159</v>
      </c>
    </row>
    <row r="49" customFormat="false" ht="48" hidden="false" customHeight="true" outlineLevel="0" collapsed="false">
      <c r="A49" s="15" t="s">
        <v>359</v>
      </c>
      <c r="B49" s="5" t="s">
        <v>360</v>
      </c>
      <c r="C49" s="5" t="s">
        <v>202</v>
      </c>
      <c r="D49" s="5" t="s">
        <v>203</v>
      </c>
      <c r="E49" s="5" t="s">
        <v>361</v>
      </c>
      <c r="F49" s="5" t="s">
        <v>362</v>
      </c>
      <c r="G49" s="5" t="s">
        <v>363</v>
      </c>
      <c r="H49" s="5" t="s">
        <v>364</v>
      </c>
      <c r="I49" s="5" t="s">
        <v>365</v>
      </c>
      <c r="J49" s="7"/>
      <c r="K49" s="5" t="s">
        <v>159</v>
      </c>
    </row>
    <row r="50" customFormat="false" ht="24" hidden="false" customHeight="true" outlineLevel="0" collapsed="false">
      <c r="A50" s="15" t="s">
        <v>366</v>
      </c>
      <c r="B50" s="5" t="s">
        <v>367</v>
      </c>
      <c r="C50" s="5" t="s">
        <v>202</v>
      </c>
      <c r="D50" s="5" t="s">
        <v>203</v>
      </c>
      <c r="E50" s="5" t="s">
        <v>102</v>
      </c>
      <c r="F50" s="5" t="s">
        <v>269</v>
      </c>
      <c r="G50" s="5" t="s">
        <v>205</v>
      </c>
      <c r="H50" s="5" t="s">
        <v>82</v>
      </c>
      <c r="I50" s="5" t="s">
        <v>368</v>
      </c>
      <c r="J50" s="7"/>
      <c r="K50" s="5" t="s">
        <v>159</v>
      </c>
    </row>
    <row r="51" customFormat="false" ht="48" hidden="false" customHeight="true" outlineLevel="0" collapsed="false">
      <c r="A51" s="15" t="s">
        <v>369</v>
      </c>
      <c r="B51" s="5" t="s">
        <v>370</v>
      </c>
      <c r="C51" s="5" t="s">
        <v>202</v>
      </c>
      <c r="D51" s="5" t="s">
        <v>203</v>
      </c>
      <c r="E51" s="5" t="s">
        <v>102</v>
      </c>
      <c r="F51" s="5" t="s">
        <v>371</v>
      </c>
      <c r="G51" s="5" t="s">
        <v>205</v>
      </c>
      <c r="H51" s="5" t="s">
        <v>82</v>
      </c>
      <c r="I51" s="5" t="s">
        <v>372</v>
      </c>
      <c r="J51" s="7"/>
      <c r="K51" s="5" t="s">
        <v>159</v>
      </c>
    </row>
    <row r="52" customFormat="false" ht="48" hidden="false" customHeight="true" outlineLevel="0" collapsed="false">
      <c r="A52" s="15" t="s">
        <v>373</v>
      </c>
      <c r="B52" s="5" t="s">
        <v>374</v>
      </c>
      <c r="C52" s="5" t="s">
        <v>375</v>
      </c>
      <c r="D52" s="5" t="s">
        <v>203</v>
      </c>
      <c r="E52" s="5" t="s">
        <v>102</v>
      </c>
      <c r="F52" s="5" t="s">
        <v>376</v>
      </c>
      <c r="G52" s="5" t="s">
        <v>205</v>
      </c>
      <c r="H52" s="5" t="s">
        <v>82</v>
      </c>
      <c r="I52" s="5" t="s">
        <v>377</v>
      </c>
      <c r="J52" s="7"/>
      <c r="K52" s="5" t="s">
        <v>159</v>
      </c>
    </row>
    <row r="53" customFormat="false" ht="60" hidden="false" customHeight="true" outlineLevel="0" collapsed="false">
      <c r="A53" s="15" t="s">
        <v>378</v>
      </c>
      <c r="B53" s="5" t="s">
        <v>379</v>
      </c>
      <c r="C53" s="5" t="s">
        <v>375</v>
      </c>
      <c r="D53" s="5" t="s">
        <v>203</v>
      </c>
      <c r="E53" s="5" t="s">
        <v>102</v>
      </c>
      <c r="F53" s="5" t="s">
        <v>380</v>
      </c>
      <c r="G53" s="5" t="s">
        <v>205</v>
      </c>
      <c r="H53" s="5" t="s">
        <v>82</v>
      </c>
      <c r="I53" s="5" t="s">
        <v>381</v>
      </c>
      <c r="J53" s="7"/>
      <c r="K53" s="5" t="s">
        <v>159</v>
      </c>
    </row>
    <row r="54" customFormat="false" ht="48" hidden="false" customHeight="true" outlineLevel="0" collapsed="false">
      <c r="A54" s="15" t="s">
        <v>353</v>
      </c>
      <c r="B54" s="5" t="s">
        <v>382</v>
      </c>
      <c r="C54" s="5" t="s">
        <v>375</v>
      </c>
      <c r="D54" s="5" t="s">
        <v>203</v>
      </c>
      <c r="E54" s="5" t="s">
        <v>119</v>
      </c>
      <c r="F54" s="5" t="s">
        <v>383</v>
      </c>
      <c r="G54" s="5" t="s">
        <v>205</v>
      </c>
      <c r="H54" s="5" t="s">
        <v>86</v>
      </c>
      <c r="I54" s="5" t="s">
        <v>384</v>
      </c>
      <c r="J54" s="7"/>
      <c r="K54" s="5" t="s">
        <v>159</v>
      </c>
    </row>
    <row r="55" customFormat="false" ht="60" hidden="false" customHeight="true" outlineLevel="0" collapsed="false">
      <c r="A55" s="15" t="s">
        <v>357</v>
      </c>
      <c r="B55" s="5" t="s">
        <v>385</v>
      </c>
      <c r="C55" s="5" t="s">
        <v>375</v>
      </c>
      <c r="D55" s="5" t="s">
        <v>203</v>
      </c>
      <c r="E55" s="5" t="s">
        <v>119</v>
      </c>
      <c r="F55" s="5" t="s">
        <v>386</v>
      </c>
      <c r="G55" s="5" t="s">
        <v>205</v>
      </c>
      <c r="H55" s="5" t="s">
        <v>86</v>
      </c>
      <c r="I55" s="5" t="s">
        <v>387</v>
      </c>
      <c r="J55" s="7"/>
      <c r="K55" s="5" t="s">
        <v>159</v>
      </c>
    </row>
    <row r="56" customFormat="false" ht="48" hidden="false" customHeight="true" outlineLevel="0" collapsed="false">
      <c r="A56" s="15" t="s">
        <v>388</v>
      </c>
      <c r="B56" s="5" t="s">
        <v>389</v>
      </c>
      <c r="C56" s="5" t="s">
        <v>375</v>
      </c>
      <c r="D56" s="5" t="s">
        <v>390</v>
      </c>
      <c r="E56" s="5" t="s">
        <v>391</v>
      </c>
      <c r="F56" s="5" t="s">
        <v>392</v>
      </c>
      <c r="G56" s="5" t="s">
        <v>349</v>
      </c>
      <c r="H56" s="5" t="s">
        <v>393</v>
      </c>
      <c r="I56" s="5" t="s">
        <v>394</v>
      </c>
      <c r="J56" s="7"/>
      <c r="K56" s="5" t="s">
        <v>159</v>
      </c>
    </row>
    <row r="57" customFormat="false" ht="48" hidden="false" customHeight="true" outlineLevel="0" collapsed="false">
      <c r="A57" s="15" t="s">
        <v>395</v>
      </c>
      <c r="B57" s="5" t="s">
        <v>396</v>
      </c>
      <c r="C57" s="5" t="s">
        <v>375</v>
      </c>
      <c r="D57" s="5" t="s">
        <v>390</v>
      </c>
      <c r="E57" s="5" t="s">
        <v>391</v>
      </c>
      <c r="F57" s="5" t="s">
        <v>397</v>
      </c>
      <c r="G57" s="5" t="s">
        <v>205</v>
      </c>
      <c r="H57" s="5" t="s">
        <v>393</v>
      </c>
      <c r="I57" s="5" t="s">
        <v>398</v>
      </c>
      <c r="J57" s="7"/>
      <c r="K57" s="5" t="s">
        <v>159</v>
      </c>
    </row>
    <row r="59" customFormat="false" ht="15" hidden="false" customHeight="false" outlineLevel="0" collapsed="false">
      <c r="B59" s="10" t="s">
        <v>399</v>
      </c>
      <c r="C59" s="12" t="n">
        <f aca="false">COUNTIF(C5:C57,"FR")</f>
        <v>47</v>
      </c>
      <c r="D59" s="12" t="n">
        <f aca="false">COUNTIF(C5:C57,"NFR")</f>
        <v>6</v>
      </c>
    </row>
    <row r="60" customFormat="false" ht="15" hidden="false" customHeight="false" outlineLevel="0" collapsed="false">
      <c r="B60" s="10" t="s">
        <v>400</v>
      </c>
      <c r="D60" s="12" t="str">
        <f aca="false">IF(D59&gt;=6,"OK","Need 6")</f>
        <v>OK</v>
      </c>
    </row>
  </sheetData>
  <conditionalFormatting sqref="D60">
    <cfRule type="expression" priority="2" aboveAverage="0" equalAverage="0" bottom="0" percent="0" rank="0" text="" dxfId="3">
      <formula>D60&lt;&gt;"OK"</formula>
    </cfRule>
  </conditionalFormatting>
  <dataValidations count="6">
    <dataValidation allowBlank="true" error="Choose a value from the list." errorStyle="stop" operator="between" showDropDown="false" showErrorMessage="true" showInputMessage="false" sqref="C5:C49" type="list">
      <formula1>"FR,NFR"</formula1>
      <formula2>0</formula2>
    </dataValidation>
    <dataValidation allowBlank="true" error="Choose a value from the list." errorStyle="stop" operator="between" showDropDown="false" showErrorMessage="true" showInputMessage="false" sqref="D5:D49" type="list">
      <formula1>"High,Medium,Low"</formula1>
      <formula2>0</formula2>
    </dataValidation>
    <dataValidation allowBlank="true" error="Choose a value from the list." errorStyle="stop" operator="between" showDropDown="false" showErrorMessage="true" showInputMessage="false" sqref="K5:K49" type="list">
      <formula1>"Draft,Agreed,Built,Tested"</formula1>
      <formula2>0</formula2>
    </dataValidation>
    <dataValidation allowBlank="false" errorStyle="stop" operator="between" showDropDown="false" showErrorMessage="false" showInputMessage="false" sqref="C50:C57" type="list">
      <formula1>"FR,NFR"</formula1>
      <formula2>0</formula2>
    </dataValidation>
    <dataValidation allowBlank="false" errorStyle="stop" operator="between" showDropDown="false" showErrorMessage="false" showInputMessage="false" sqref="D50:D57" type="list">
      <formula1>"High,Medium,Low"</formula1>
      <formula2>0</formula2>
    </dataValidation>
    <dataValidation allowBlank="false" errorStyle="stop" operator="between" showDropDown="false" showErrorMessage="false" showInputMessage="false" sqref="K50:K57" type="list">
      <formula1>"Draft,Agreed,Built,Tested"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2"/>
    <col collapsed="false" customWidth="true" hidden="false" outlineLevel="0" max="3" min="2" style="0" width="36"/>
    <col collapsed="false" customWidth="true" hidden="false" outlineLevel="0" max="4" min="4" style="0" width="18"/>
    <col collapsed="false" customWidth="true" hidden="false" outlineLevel="0" max="5" min="5" style="0" width="34"/>
    <col collapsed="false" customWidth="true" hidden="false" outlineLevel="0" max="6" min="6" style="0" width="14"/>
    <col collapsed="false" customWidth="true" hidden="false" outlineLevel="0" max="8" min="7" style="0" width="26"/>
  </cols>
  <sheetData>
    <row r="1" customFormat="false" ht="18.55" hidden="false" customHeight="false" outlineLevel="0" collapsed="false">
      <c r="A1" s="1" t="s">
        <v>401</v>
      </c>
    </row>
    <row r="2" customFormat="false" ht="15" hidden="false" customHeight="false" outlineLevel="0" collapsed="false">
      <c r="A2" s="2" t="s">
        <v>402</v>
      </c>
    </row>
    <row r="4" customFormat="false" ht="33.75" hidden="false" customHeight="true" outlineLevel="0" collapsed="false">
      <c r="A4" s="8" t="s">
        <v>403</v>
      </c>
      <c r="B4" s="8" t="s">
        <v>404</v>
      </c>
      <c r="C4" s="13" t="s">
        <v>405</v>
      </c>
      <c r="D4" s="13" t="s">
        <v>406</v>
      </c>
      <c r="E4" s="13" t="s">
        <v>407</v>
      </c>
      <c r="F4" s="13" t="s">
        <v>97</v>
      </c>
      <c r="G4" s="13" t="s">
        <v>408</v>
      </c>
      <c r="H4" s="14" t="s">
        <v>99</v>
      </c>
    </row>
    <row r="5" customFormat="false" ht="84" hidden="false" customHeight="true" outlineLevel="0" collapsed="false">
      <c r="A5" s="15" t="s">
        <v>24</v>
      </c>
      <c r="B5" s="6" t="s">
        <v>409</v>
      </c>
      <c r="C5" s="5" t="s">
        <v>410</v>
      </c>
      <c r="D5" s="5" t="s">
        <v>411</v>
      </c>
      <c r="E5" s="5" t="s">
        <v>412</v>
      </c>
      <c r="F5" s="5" t="s">
        <v>413</v>
      </c>
      <c r="G5" s="5" t="s">
        <v>414</v>
      </c>
      <c r="H5" s="7"/>
    </row>
    <row r="6" customFormat="false" ht="36" hidden="false" customHeight="true" outlineLevel="0" collapsed="false">
      <c r="A6" s="15" t="s">
        <v>415</v>
      </c>
      <c r="B6" s="6" t="s">
        <v>416</v>
      </c>
      <c r="C6" s="5" t="s">
        <v>417</v>
      </c>
      <c r="D6" s="5" t="s">
        <v>411</v>
      </c>
      <c r="E6" s="5" t="s">
        <v>418</v>
      </c>
      <c r="F6" s="5" t="s">
        <v>413</v>
      </c>
      <c r="G6" s="5" t="s">
        <v>419</v>
      </c>
      <c r="H6" s="7"/>
    </row>
    <row r="7" customFormat="false" ht="24" hidden="false" customHeight="true" outlineLevel="0" collapsed="false">
      <c r="A7" s="15" t="s">
        <v>420</v>
      </c>
      <c r="B7" s="6" t="s">
        <v>421</v>
      </c>
      <c r="C7" s="5" t="s">
        <v>422</v>
      </c>
      <c r="D7" s="5" t="s">
        <v>411</v>
      </c>
      <c r="E7" s="5" t="s">
        <v>423</v>
      </c>
      <c r="F7" s="5" t="s">
        <v>413</v>
      </c>
      <c r="G7" s="5" t="s">
        <v>424</v>
      </c>
      <c r="H7" s="7"/>
    </row>
    <row r="8" customFormat="false" ht="24" hidden="false" customHeight="true" outlineLevel="0" collapsed="false">
      <c r="A8" s="15" t="s">
        <v>425</v>
      </c>
      <c r="B8" s="6" t="s">
        <v>426</v>
      </c>
      <c r="C8" s="5" t="s">
        <v>427</v>
      </c>
      <c r="D8" s="5" t="s">
        <v>411</v>
      </c>
      <c r="E8" s="5" t="s">
        <v>428</v>
      </c>
      <c r="F8" s="5" t="s">
        <v>413</v>
      </c>
      <c r="G8" s="5" t="s">
        <v>429</v>
      </c>
      <c r="H8" s="7"/>
    </row>
    <row r="9" customFormat="false" ht="48" hidden="false" customHeight="true" outlineLevel="0" collapsed="false">
      <c r="A9" s="15" t="s">
        <v>50</v>
      </c>
      <c r="B9" s="6" t="s">
        <v>430</v>
      </c>
      <c r="C9" s="5" t="s">
        <v>431</v>
      </c>
      <c r="D9" s="5" t="s">
        <v>411</v>
      </c>
      <c r="E9" s="5" t="s">
        <v>432</v>
      </c>
      <c r="F9" s="5" t="s">
        <v>413</v>
      </c>
      <c r="G9" s="5" t="s">
        <v>433</v>
      </c>
      <c r="H9" s="7"/>
    </row>
    <row r="10" customFormat="false" ht="36" hidden="false" customHeight="true" outlineLevel="0" collapsed="false">
      <c r="A10" s="15" t="s">
        <v>434</v>
      </c>
      <c r="B10" s="6" t="s">
        <v>435</v>
      </c>
      <c r="C10" s="5" t="s">
        <v>436</v>
      </c>
      <c r="D10" s="5" t="s">
        <v>411</v>
      </c>
      <c r="E10" s="5" t="s">
        <v>437</v>
      </c>
      <c r="F10" s="5" t="s">
        <v>413</v>
      </c>
      <c r="G10" s="5" t="s">
        <v>438</v>
      </c>
      <c r="H10" s="7"/>
    </row>
    <row r="11" customFormat="false" ht="48" hidden="false" customHeight="true" outlineLevel="0" collapsed="false">
      <c r="A11" s="15" t="s">
        <v>439</v>
      </c>
      <c r="B11" s="6" t="s">
        <v>440</v>
      </c>
      <c r="C11" s="5" t="s">
        <v>441</v>
      </c>
      <c r="D11" s="5" t="s">
        <v>411</v>
      </c>
      <c r="E11" s="5" t="s">
        <v>442</v>
      </c>
      <c r="F11" s="5" t="s">
        <v>413</v>
      </c>
      <c r="G11" s="5" t="s">
        <v>443</v>
      </c>
      <c r="H11" s="7"/>
    </row>
    <row r="13" customFormat="false" ht="15" hidden="false" customHeight="false" outlineLevel="0" collapsed="false">
      <c r="A13" s="3" t="s">
        <v>444</v>
      </c>
    </row>
    <row r="14" customFormat="false" ht="33.75" hidden="false" customHeight="true" outlineLevel="0" collapsed="false">
      <c r="A14" s="8" t="s">
        <v>145</v>
      </c>
      <c r="B14" s="13" t="s">
        <v>445</v>
      </c>
      <c r="C14" s="13" t="s">
        <v>446</v>
      </c>
      <c r="D14" s="13" t="s">
        <v>198</v>
      </c>
      <c r="E14" s="13" t="s">
        <v>403</v>
      </c>
      <c r="F14" s="13" t="s">
        <v>97</v>
      </c>
      <c r="G14" s="13" t="s">
        <v>447</v>
      </c>
      <c r="H14" s="14" t="s">
        <v>99</v>
      </c>
    </row>
    <row r="15" customFormat="false" ht="48" hidden="false" customHeight="true" outlineLevel="0" collapsed="false">
      <c r="A15" s="15" t="s">
        <v>448</v>
      </c>
      <c r="B15" s="5" t="s">
        <v>449</v>
      </c>
      <c r="C15" s="5" t="s">
        <v>450</v>
      </c>
      <c r="D15" s="5" t="s">
        <v>82</v>
      </c>
      <c r="E15" s="5" t="n">
        <v>1</v>
      </c>
      <c r="F15" s="5" t="s">
        <v>451</v>
      </c>
      <c r="G15" s="5" t="s">
        <v>452</v>
      </c>
      <c r="H15" s="7"/>
    </row>
    <row r="16" customFormat="false" ht="60" hidden="false" customHeight="true" outlineLevel="0" collapsed="false">
      <c r="A16" s="15" t="s">
        <v>453</v>
      </c>
      <c r="B16" s="5" t="s">
        <v>454</v>
      </c>
      <c r="C16" s="5" t="s">
        <v>455</v>
      </c>
      <c r="D16" s="5" t="s">
        <v>86</v>
      </c>
      <c r="E16" s="5" t="n">
        <v>1</v>
      </c>
      <c r="F16" s="5" t="s">
        <v>456</v>
      </c>
      <c r="G16" s="5" t="s">
        <v>457</v>
      </c>
      <c r="H16" s="7"/>
    </row>
    <row r="17" customFormat="false" ht="48" hidden="false" customHeight="true" outlineLevel="0" collapsed="false">
      <c r="A17" s="15" t="s">
        <v>458</v>
      </c>
      <c r="B17" s="5" t="s">
        <v>459</v>
      </c>
      <c r="C17" s="5" t="s">
        <v>460</v>
      </c>
      <c r="D17" s="5" t="s">
        <v>90</v>
      </c>
      <c r="E17" s="5" t="n">
        <v>1</v>
      </c>
      <c r="F17" s="5" t="s">
        <v>456</v>
      </c>
      <c r="G17" s="5" t="s">
        <v>461</v>
      </c>
      <c r="H17" s="7"/>
    </row>
    <row r="18" customFormat="false" ht="60" hidden="false" customHeight="true" outlineLevel="0" collapsed="false">
      <c r="A18" s="15" t="s">
        <v>462</v>
      </c>
      <c r="B18" s="5" t="s">
        <v>463</v>
      </c>
      <c r="C18" s="5" t="s">
        <v>464</v>
      </c>
      <c r="D18" s="5" t="s">
        <v>82</v>
      </c>
      <c r="E18" s="5" t="n">
        <v>2</v>
      </c>
      <c r="F18" s="5" t="s">
        <v>456</v>
      </c>
      <c r="G18" s="5" t="s">
        <v>465</v>
      </c>
      <c r="H18" s="7"/>
    </row>
    <row r="19" customFormat="false" ht="60" hidden="false" customHeight="true" outlineLevel="0" collapsed="false">
      <c r="A19" s="15" t="s">
        <v>466</v>
      </c>
      <c r="B19" s="5" t="s">
        <v>467</v>
      </c>
      <c r="C19" s="5" t="s">
        <v>468</v>
      </c>
      <c r="D19" s="5" t="s">
        <v>82</v>
      </c>
      <c r="E19" s="5" t="n">
        <v>3</v>
      </c>
      <c r="F19" s="5" t="s">
        <v>456</v>
      </c>
      <c r="G19" s="5" t="s">
        <v>469</v>
      </c>
      <c r="H19" s="7"/>
    </row>
    <row r="20" customFormat="false" ht="48" hidden="false" customHeight="true" outlineLevel="0" collapsed="false">
      <c r="A20" s="15" t="s">
        <v>470</v>
      </c>
      <c r="B20" s="5" t="s">
        <v>471</v>
      </c>
      <c r="C20" s="5" t="s">
        <v>455</v>
      </c>
      <c r="D20" s="5" t="s">
        <v>86</v>
      </c>
      <c r="E20" s="5" t="n">
        <v>4</v>
      </c>
      <c r="F20" s="5" t="s">
        <v>456</v>
      </c>
      <c r="G20" s="5" t="s">
        <v>472</v>
      </c>
      <c r="H20" s="7"/>
    </row>
    <row r="21" customFormat="false" ht="48" hidden="false" customHeight="true" outlineLevel="0" collapsed="false">
      <c r="A21" s="15" t="s">
        <v>473</v>
      </c>
      <c r="B21" s="5" t="s">
        <v>474</v>
      </c>
      <c r="C21" s="5" t="s">
        <v>460</v>
      </c>
      <c r="D21" s="5" t="s">
        <v>90</v>
      </c>
      <c r="E21" s="5" t="n">
        <v>5</v>
      </c>
      <c r="F21" s="5" t="s">
        <v>456</v>
      </c>
      <c r="G21" s="5" t="s">
        <v>475</v>
      </c>
      <c r="H21" s="7"/>
    </row>
    <row r="22" customFormat="false" ht="60" hidden="false" customHeight="true" outlineLevel="0" collapsed="false">
      <c r="A22" s="15" t="s">
        <v>476</v>
      </c>
      <c r="B22" s="5" t="s">
        <v>477</v>
      </c>
      <c r="C22" s="5" t="s">
        <v>450</v>
      </c>
      <c r="D22" s="5" t="s">
        <v>82</v>
      </c>
      <c r="E22" s="5" t="n">
        <v>6</v>
      </c>
      <c r="F22" s="5" t="s">
        <v>456</v>
      </c>
      <c r="G22" s="5" t="s">
        <v>478</v>
      </c>
      <c r="H22" s="7"/>
    </row>
    <row r="23" customFormat="false" ht="60" hidden="false" customHeight="true" outlineLevel="0" collapsed="false">
      <c r="A23" s="15" t="s">
        <v>479</v>
      </c>
      <c r="B23" s="5" t="s">
        <v>480</v>
      </c>
      <c r="C23" s="5" t="s">
        <v>481</v>
      </c>
      <c r="D23" s="5" t="s">
        <v>364</v>
      </c>
      <c r="E23" s="5" t="n">
        <v>6</v>
      </c>
      <c r="F23" s="5" t="s">
        <v>456</v>
      </c>
      <c r="G23" s="5" t="s">
        <v>482</v>
      </c>
      <c r="H23" s="7"/>
    </row>
    <row r="24" customFormat="false" ht="72" hidden="false" customHeight="true" outlineLevel="0" collapsed="false">
      <c r="A24" s="15" t="s">
        <v>483</v>
      </c>
      <c r="B24" s="5" t="s">
        <v>484</v>
      </c>
      <c r="C24" s="5" t="s">
        <v>485</v>
      </c>
      <c r="D24" s="5" t="s">
        <v>82</v>
      </c>
      <c r="E24" s="5" t="n">
        <v>2</v>
      </c>
      <c r="F24" s="5" t="s">
        <v>456</v>
      </c>
      <c r="G24" s="5" t="s">
        <v>486</v>
      </c>
      <c r="H24" s="7"/>
    </row>
    <row r="25" customFormat="false" ht="72" hidden="false" customHeight="true" outlineLevel="0" collapsed="false">
      <c r="A25" s="15" t="s">
        <v>487</v>
      </c>
      <c r="B25" s="5" t="s">
        <v>488</v>
      </c>
      <c r="C25" s="5" t="s">
        <v>489</v>
      </c>
      <c r="D25" s="5" t="s">
        <v>86</v>
      </c>
      <c r="E25" s="5" t="n">
        <v>2</v>
      </c>
      <c r="F25" s="5" t="s">
        <v>456</v>
      </c>
      <c r="G25" s="5" t="s">
        <v>490</v>
      </c>
      <c r="H25" s="7"/>
    </row>
    <row r="26" customFormat="false" ht="72" hidden="false" customHeight="true" outlineLevel="0" collapsed="false">
      <c r="A26" s="15" t="s">
        <v>491</v>
      </c>
      <c r="B26" s="5" t="s">
        <v>492</v>
      </c>
      <c r="C26" s="5" t="s">
        <v>493</v>
      </c>
      <c r="D26" s="5" t="s">
        <v>90</v>
      </c>
      <c r="E26" s="5" t="n">
        <v>6</v>
      </c>
      <c r="F26" s="5" t="s">
        <v>456</v>
      </c>
      <c r="G26" s="5" t="s">
        <v>494</v>
      </c>
      <c r="H26" s="7"/>
    </row>
    <row r="27" customFormat="false" ht="25.5" hidden="false" customHeight="true" outlineLevel="0" collapsed="false">
      <c r="A27" s="15" t="s">
        <v>495</v>
      </c>
      <c r="B27" s="5"/>
      <c r="C27" s="5"/>
      <c r="D27" s="5"/>
      <c r="E27" s="5"/>
      <c r="F27" s="5"/>
      <c r="G27" s="5"/>
      <c r="H27" s="7"/>
    </row>
    <row r="28" customFormat="false" ht="25.5" hidden="false" customHeight="true" outlineLevel="0" collapsed="false">
      <c r="A28" s="15" t="s">
        <v>496</v>
      </c>
      <c r="B28" s="5"/>
      <c r="C28" s="5"/>
      <c r="D28" s="5"/>
      <c r="E28" s="5"/>
      <c r="F28" s="5"/>
      <c r="G28" s="5"/>
      <c r="H28" s="7"/>
    </row>
    <row r="29" customFormat="false" ht="25.5" hidden="false" customHeight="true" outlineLevel="0" collapsed="false">
      <c r="A29" s="15" t="s">
        <v>497</v>
      </c>
      <c r="B29" s="5"/>
      <c r="C29" s="5"/>
      <c r="D29" s="5"/>
      <c r="E29" s="5"/>
      <c r="F29" s="5"/>
      <c r="G29" s="5"/>
      <c r="H29" s="7"/>
    </row>
    <row r="30" customFormat="false" ht="25.5" hidden="false" customHeight="true" outlineLevel="0" collapsed="false">
      <c r="A30" s="15" t="s">
        <v>498</v>
      </c>
      <c r="B30" s="5"/>
      <c r="C30" s="5"/>
      <c r="D30" s="5"/>
      <c r="E30" s="5"/>
      <c r="F30" s="5"/>
      <c r="G30" s="5"/>
      <c r="H30" s="7"/>
    </row>
    <row r="31" customFormat="false" ht="25.5" hidden="false" customHeight="true" outlineLevel="0" collapsed="false">
      <c r="A31" s="15" t="s">
        <v>499</v>
      </c>
      <c r="B31" s="5"/>
      <c r="C31" s="5"/>
      <c r="D31" s="5"/>
      <c r="E31" s="5"/>
      <c r="F31" s="5"/>
      <c r="G31" s="5"/>
      <c r="H31" s="7"/>
    </row>
    <row r="32" customFormat="false" ht="25.5" hidden="false" customHeight="true" outlineLevel="0" collapsed="false">
      <c r="A32" s="15" t="s">
        <v>500</v>
      </c>
      <c r="B32" s="5"/>
      <c r="C32" s="5"/>
      <c r="D32" s="5"/>
      <c r="E32" s="5"/>
      <c r="F32" s="5"/>
      <c r="G32" s="5"/>
      <c r="H32" s="7"/>
    </row>
    <row r="33" customFormat="false" ht="25.5" hidden="false" customHeight="true" outlineLevel="0" collapsed="false">
      <c r="A33" s="15" t="s">
        <v>501</v>
      </c>
      <c r="B33" s="5"/>
      <c r="C33" s="5"/>
      <c r="D33" s="5"/>
      <c r="E33" s="5"/>
      <c r="F33" s="5"/>
      <c r="G33" s="5"/>
      <c r="H33" s="7"/>
    </row>
    <row r="34" customFormat="false" ht="25.5" hidden="false" customHeight="true" outlineLevel="0" collapsed="false">
      <c r="A34" s="15" t="s">
        <v>502</v>
      </c>
      <c r="B34" s="5"/>
      <c r="C34" s="5"/>
      <c r="D34" s="5"/>
      <c r="E34" s="5"/>
      <c r="F34" s="5"/>
      <c r="G34" s="5"/>
      <c r="H34" s="7"/>
    </row>
    <row r="35" customFormat="false" ht="25.5" hidden="false" customHeight="true" outlineLevel="0" collapsed="false">
      <c r="A35" s="15" t="s">
        <v>503</v>
      </c>
      <c r="B35" s="5"/>
      <c r="C35" s="5"/>
      <c r="D35" s="5"/>
      <c r="E35" s="5"/>
      <c r="F35" s="5"/>
      <c r="G35" s="5"/>
      <c r="H35" s="7"/>
    </row>
    <row r="36" customFormat="false" ht="25.5" hidden="false" customHeight="true" outlineLevel="0" collapsed="false">
      <c r="A36" s="15" t="s">
        <v>504</v>
      </c>
      <c r="B36" s="5"/>
      <c r="C36" s="5"/>
      <c r="D36" s="5"/>
      <c r="E36" s="5"/>
      <c r="F36" s="5"/>
      <c r="G36" s="5"/>
      <c r="H36" s="7"/>
    </row>
    <row r="37" customFormat="false" ht="25.5" hidden="false" customHeight="true" outlineLevel="0" collapsed="false">
      <c r="A37" s="15" t="s">
        <v>505</v>
      </c>
      <c r="B37" s="5"/>
      <c r="C37" s="5"/>
      <c r="D37" s="5"/>
      <c r="E37" s="5"/>
      <c r="F37" s="5"/>
      <c r="G37" s="5"/>
      <c r="H37" s="7"/>
    </row>
    <row r="38" customFormat="false" ht="25.5" hidden="false" customHeight="true" outlineLevel="0" collapsed="false">
      <c r="A38" s="15" t="s">
        <v>506</v>
      </c>
      <c r="B38" s="5"/>
      <c r="C38" s="5"/>
      <c r="D38" s="5"/>
      <c r="E38" s="5"/>
      <c r="F38" s="5"/>
      <c r="G38" s="5"/>
      <c r="H38" s="7"/>
    </row>
    <row r="39" customFormat="false" ht="25.5" hidden="false" customHeight="true" outlineLevel="0" collapsed="false">
      <c r="A39" s="15" t="s">
        <v>507</v>
      </c>
      <c r="B39" s="5"/>
      <c r="C39" s="5"/>
      <c r="D39" s="5"/>
      <c r="E39" s="5"/>
      <c r="F39" s="5"/>
      <c r="G39" s="5"/>
      <c r="H39" s="7"/>
    </row>
    <row r="41" customFormat="false" ht="15" hidden="false" customHeight="false" outlineLevel="0" collapsed="false">
      <c r="A41" s="3" t="s">
        <v>508</v>
      </c>
    </row>
    <row r="42" customFormat="false" ht="33.75" hidden="false" customHeight="true" outlineLevel="0" collapsed="false">
      <c r="A42" s="8" t="s">
        <v>145</v>
      </c>
      <c r="B42" s="13" t="s">
        <v>509</v>
      </c>
      <c r="C42" s="13" t="s">
        <v>510</v>
      </c>
      <c r="D42" s="13" t="s">
        <v>511</v>
      </c>
      <c r="E42" s="8" t="s">
        <v>512</v>
      </c>
      <c r="F42" s="13" t="s">
        <v>198</v>
      </c>
      <c r="G42" s="13" t="s">
        <v>97</v>
      </c>
      <c r="H42" s="13" t="s">
        <v>513</v>
      </c>
    </row>
    <row r="43" customFormat="false" ht="48" hidden="false" customHeight="true" outlineLevel="0" collapsed="false">
      <c r="A43" s="15" t="s">
        <v>514</v>
      </c>
      <c r="B43" s="5" t="s">
        <v>515</v>
      </c>
      <c r="C43" s="5" t="s">
        <v>203</v>
      </c>
      <c r="D43" s="5" t="s">
        <v>203</v>
      </c>
      <c r="E43" s="12" t="n">
        <f aca="false">IF(OR(C43="",D43=""),"",(MATCH(C43,{"Low","Medium","High"},0))*(MATCH(D43,{"Low","Medium","High"},0)))</f>
        <v>9</v>
      </c>
      <c r="F43" s="5" t="s">
        <v>82</v>
      </c>
      <c r="G43" s="5" t="s">
        <v>516</v>
      </c>
      <c r="H43" s="5" t="s">
        <v>517</v>
      </c>
    </row>
    <row r="44" customFormat="false" ht="36" hidden="false" customHeight="true" outlineLevel="0" collapsed="false">
      <c r="A44" s="15" t="s">
        <v>518</v>
      </c>
      <c r="B44" s="5" t="s">
        <v>519</v>
      </c>
      <c r="C44" s="5" t="s">
        <v>390</v>
      </c>
      <c r="D44" s="5" t="s">
        <v>203</v>
      </c>
      <c r="E44" s="12" t="n">
        <f aca="false">IF(OR(C44="",D44=""),"",(MATCH(C44,{"Low","Medium","High"},0))*(MATCH(D44,{"Low","Medium","High"},0)))</f>
        <v>6</v>
      </c>
      <c r="F44" s="5" t="s">
        <v>82</v>
      </c>
      <c r="G44" s="5" t="s">
        <v>516</v>
      </c>
      <c r="H44" s="5" t="s">
        <v>520</v>
      </c>
    </row>
    <row r="45" customFormat="false" ht="48" hidden="false" customHeight="true" outlineLevel="0" collapsed="false">
      <c r="A45" s="15" t="s">
        <v>521</v>
      </c>
      <c r="B45" s="5" t="s">
        <v>522</v>
      </c>
      <c r="C45" s="5" t="s">
        <v>390</v>
      </c>
      <c r="D45" s="5" t="s">
        <v>203</v>
      </c>
      <c r="E45" s="12" t="n">
        <f aca="false">IF(OR(C45="",D45=""),"",(MATCH(C45,{"Low","Medium","High"},0))*(MATCH(D45,{"Low","Medium","High"},0)))</f>
        <v>6</v>
      </c>
      <c r="F45" s="5" t="s">
        <v>90</v>
      </c>
      <c r="G45" s="5" t="s">
        <v>516</v>
      </c>
      <c r="H45" s="5" t="s">
        <v>523</v>
      </c>
    </row>
    <row r="46" customFormat="false" ht="36" hidden="false" customHeight="true" outlineLevel="0" collapsed="false">
      <c r="A46" s="15" t="s">
        <v>524</v>
      </c>
      <c r="B46" s="5" t="s">
        <v>525</v>
      </c>
      <c r="C46" s="5" t="s">
        <v>390</v>
      </c>
      <c r="D46" s="5" t="s">
        <v>203</v>
      </c>
      <c r="E46" s="12" t="n">
        <f aca="false">IF(OR(C46="",D46=""),"",(MATCH(C46,{"Low","Medium","High"},0))*(MATCH(D46,{"Low","Medium","High"},0)))</f>
        <v>6</v>
      </c>
      <c r="F46" s="5" t="s">
        <v>82</v>
      </c>
      <c r="G46" s="5" t="s">
        <v>516</v>
      </c>
      <c r="H46" s="5" t="s">
        <v>526</v>
      </c>
    </row>
    <row r="47" customFormat="false" ht="36" hidden="false" customHeight="true" outlineLevel="0" collapsed="false">
      <c r="A47" s="15" t="s">
        <v>527</v>
      </c>
      <c r="B47" s="5" t="s">
        <v>528</v>
      </c>
      <c r="C47" s="5" t="s">
        <v>390</v>
      </c>
      <c r="D47" s="5" t="s">
        <v>203</v>
      </c>
      <c r="E47" s="12" t="n">
        <f aca="false">IF(OR(C47="",D47=""),"",(MATCH(C47,{"Low","Medium","High"},0))*(MATCH(D47,{"Low","Medium","High"},0)))</f>
        <v>6</v>
      </c>
      <c r="F47" s="5" t="s">
        <v>86</v>
      </c>
      <c r="G47" s="5" t="s">
        <v>516</v>
      </c>
      <c r="H47" s="5" t="s">
        <v>529</v>
      </c>
    </row>
    <row r="48" customFormat="false" ht="36" hidden="false" customHeight="true" outlineLevel="0" collapsed="false">
      <c r="A48" s="15" t="s">
        <v>530</v>
      </c>
      <c r="B48" s="5" t="s">
        <v>531</v>
      </c>
      <c r="C48" s="5" t="s">
        <v>390</v>
      </c>
      <c r="D48" s="5" t="s">
        <v>203</v>
      </c>
      <c r="E48" s="12" t="n">
        <f aca="false">IF(OR(C48="",D48=""),"",(MATCH(C48,{"Low","Medium","High"},0))*(MATCH(D48,{"Low","Medium","High"},0)))</f>
        <v>6</v>
      </c>
      <c r="F48" s="5" t="s">
        <v>82</v>
      </c>
      <c r="G48" s="5" t="s">
        <v>516</v>
      </c>
      <c r="H48" s="5" t="s">
        <v>532</v>
      </c>
    </row>
    <row r="49" customFormat="false" ht="36" hidden="false" customHeight="true" outlineLevel="0" collapsed="false">
      <c r="A49" s="15" t="s">
        <v>533</v>
      </c>
      <c r="B49" s="5" t="s">
        <v>534</v>
      </c>
      <c r="C49" s="5" t="s">
        <v>203</v>
      </c>
      <c r="D49" s="5" t="s">
        <v>390</v>
      </c>
      <c r="E49" s="12" t="n">
        <f aca="false">IF(OR(C49="",D49=""),"",(MATCH(C49,{"Low","Medium","High"},0))*(MATCH(D49,{"Low","Medium","High"},0)))</f>
        <v>6</v>
      </c>
      <c r="F49" s="5" t="s">
        <v>82</v>
      </c>
      <c r="G49" s="5" t="s">
        <v>516</v>
      </c>
      <c r="H49" s="5" t="s">
        <v>535</v>
      </c>
    </row>
    <row r="50" customFormat="false" ht="30" hidden="false" customHeight="true" outlineLevel="0" collapsed="false">
      <c r="A50" s="15" t="s">
        <v>536</v>
      </c>
      <c r="B50" s="5"/>
      <c r="C50" s="5"/>
      <c r="D50" s="5"/>
      <c r="E50" s="12" t="str">
        <f aca="false">IF(OR(C50="",D50=""),"",(MATCH(C50,{"Low","Medium","High"},0))*(MATCH(D50,{"Low","Medium","High"},0)))</f>
        <v/>
      </c>
      <c r="F50" s="5"/>
      <c r="G50" s="5"/>
      <c r="H50" s="5"/>
    </row>
  </sheetData>
  <dataValidations count="5">
    <dataValidation allowBlank="true" error="Choose a value from the list." errorStyle="stop" operator="between" showDropDown="false" showErrorMessage="true" showInputMessage="false" sqref="F5:F11" type="list">
      <formula1>"Planned,In progress,Done,Late"</formula1>
      <formula2>0</formula2>
    </dataValidation>
    <dataValidation allowBlank="true" error="Choose a value from the list." errorStyle="stop" operator="between" showDropDown="false" showErrorMessage="true" showInputMessage="false" sqref="E15:E39" type="list">
      <formula1>"1,2,3,4,5,6,7"</formula1>
      <formula2>0</formula2>
    </dataValidation>
    <dataValidation allowBlank="true" error="Choose a value from the list." errorStyle="stop" operator="between" showDropDown="false" showErrorMessage="true" showInputMessage="false" sqref="F15:F39" type="list">
      <formula1>"To do,In progress,Done"</formula1>
      <formula2>0</formula2>
    </dataValidation>
    <dataValidation allowBlank="true" error="Choose a value from the list." errorStyle="stop" operator="between" showDropDown="false" showErrorMessage="true" showInputMessage="false" sqref="C43:D50" type="list">
      <formula1>"High,Medium,Low"</formula1>
      <formula2>0</formula2>
    </dataValidation>
    <dataValidation allowBlank="true" error="Choose a value from the list." errorStyle="stop" operator="between" showDropDown="false" showErrorMessage="true" showInputMessage="false" sqref="G43:G50" type="list">
      <formula1>"Open,Mitigated,Occurred,Closed"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9"/>
    <col collapsed="false" customWidth="true" hidden="false" outlineLevel="0" max="4" min="2" style="0" width="40"/>
    <col collapsed="false" customWidth="true" hidden="false" outlineLevel="0" max="5" min="5" style="0" width="28"/>
    <col collapsed="false" customWidth="true" hidden="false" outlineLevel="0" max="6" min="6" style="0" width="10"/>
    <col collapsed="false" customWidth="true" hidden="false" outlineLevel="0" max="7" min="7" style="0" width="30"/>
  </cols>
  <sheetData>
    <row r="1" customFormat="false" ht="18.55" hidden="false" customHeight="false" outlineLevel="0" collapsed="false">
      <c r="A1" s="1" t="s">
        <v>537</v>
      </c>
    </row>
    <row r="2" customFormat="false" ht="15" hidden="false" customHeight="false" outlineLevel="0" collapsed="false">
      <c r="A2" s="2" t="s">
        <v>538</v>
      </c>
    </row>
    <row r="4" customFormat="false" ht="39.75" hidden="false" customHeight="true" outlineLevel="0" collapsed="false">
      <c r="A4" s="8" t="s">
        <v>539</v>
      </c>
      <c r="B4" s="8" t="s">
        <v>540</v>
      </c>
      <c r="C4" s="13" t="s">
        <v>541</v>
      </c>
      <c r="D4" s="13" t="s">
        <v>542</v>
      </c>
      <c r="E4" s="13" t="s">
        <v>543</v>
      </c>
      <c r="F4" s="8" t="s">
        <v>544</v>
      </c>
      <c r="G4" s="14" t="s">
        <v>99</v>
      </c>
    </row>
    <row r="5" customFormat="false" ht="39.75" hidden="false" customHeight="true" outlineLevel="0" collapsed="false">
      <c r="A5" s="15" t="s">
        <v>253</v>
      </c>
      <c r="B5" s="6" t="s">
        <v>545</v>
      </c>
      <c r="C5" s="5"/>
      <c r="D5" s="5"/>
      <c r="E5" s="5"/>
      <c r="F5" s="12" t="str">
        <f aca="false">IF(E5="","",LEN(E5)-LEN(SUBSTITUTE(E5,",",""))+1)</f>
        <v/>
      </c>
      <c r="G5" s="7"/>
    </row>
    <row r="6" customFormat="false" ht="39.75" hidden="false" customHeight="true" outlineLevel="0" collapsed="false">
      <c r="A6" s="15" t="s">
        <v>257</v>
      </c>
      <c r="B6" s="6" t="s">
        <v>546</v>
      </c>
      <c r="C6" s="5"/>
      <c r="D6" s="5"/>
      <c r="E6" s="5"/>
      <c r="F6" s="12" t="str">
        <f aca="false">IF(E6="","",LEN(E6)-LEN(SUBSTITUTE(E6,",",""))+1)</f>
        <v/>
      </c>
      <c r="G6" s="7"/>
    </row>
    <row r="7" customFormat="false" ht="39.75" hidden="false" customHeight="true" outlineLevel="0" collapsed="false">
      <c r="A7" s="15" t="s">
        <v>261</v>
      </c>
      <c r="B7" s="6" t="s">
        <v>547</v>
      </c>
      <c r="C7" s="5"/>
      <c r="D7" s="5"/>
      <c r="E7" s="5"/>
      <c r="F7" s="12" t="str">
        <f aca="false">IF(E7="","",LEN(E7)-LEN(SUBSTITUTE(E7,",",""))+1)</f>
        <v/>
      </c>
      <c r="G7" s="7"/>
    </row>
    <row r="8" customFormat="false" ht="39.75" hidden="false" customHeight="true" outlineLevel="0" collapsed="false">
      <c r="A8" s="15" t="s">
        <v>265</v>
      </c>
      <c r="B8" s="6" t="s">
        <v>548</v>
      </c>
      <c r="C8" s="5"/>
      <c r="D8" s="5"/>
      <c r="E8" s="5"/>
      <c r="F8" s="12" t="str">
        <f aca="false">IF(E8="","",LEN(E8)-LEN(SUBSTITUTE(E8,",",""))+1)</f>
        <v/>
      </c>
      <c r="G8" s="7"/>
    </row>
    <row r="9" customFormat="false" ht="39.75" hidden="false" customHeight="true" outlineLevel="0" collapsed="false">
      <c r="A9" s="15" t="s">
        <v>273</v>
      </c>
      <c r="B9" s="6" t="s">
        <v>549</v>
      </c>
      <c r="C9" s="5"/>
      <c r="D9" s="5"/>
      <c r="E9" s="5"/>
      <c r="F9" s="12" t="str">
        <f aca="false">IF(E9="","",LEN(E9)-LEN(SUBSTITUTE(E9,",",""))+1)</f>
        <v/>
      </c>
      <c r="G9" s="7"/>
    </row>
    <row r="10" customFormat="false" ht="39.75" hidden="false" customHeight="true" outlineLevel="0" collapsed="false">
      <c r="A10" s="15" t="s">
        <v>277</v>
      </c>
      <c r="B10" s="6" t="s">
        <v>550</v>
      </c>
      <c r="C10" s="5"/>
      <c r="D10" s="5"/>
      <c r="E10" s="5"/>
      <c r="F10" s="12" t="str">
        <f aca="false">IF(E10="","",LEN(E10)-LEN(SUBSTITUTE(E10,",",""))+1)</f>
        <v/>
      </c>
      <c r="G10" s="7"/>
    </row>
    <row r="11" customFormat="false" ht="39.75" hidden="false" customHeight="true" outlineLevel="0" collapsed="false">
      <c r="A11" s="15" t="s">
        <v>224</v>
      </c>
      <c r="B11" s="6" t="s">
        <v>551</v>
      </c>
      <c r="C11" s="5"/>
      <c r="D11" s="5"/>
      <c r="E11" s="5"/>
      <c r="F11" s="12" t="str">
        <f aca="false">IF(E11="","",LEN(E11)-LEN(SUBSTITUTE(E11,",",""))+1)</f>
        <v/>
      </c>
      <c r="G11" s="7"/>
    </row>
    <row r="12" customFormat="false" ht="39.75" hidden="false" customHeight="true" outlineLevel="0" collapsed="false">
      <c r="A12" s="15" t="s">
        <v>240</v>
      </c>
      <c r="B12" s="6" t="s">
        <v>552</v>
      </c>
      <c r="C12" s="5"/>
      <c r="D12" s="5"/>
      <c r="E12" s="5"/>
      <c r="F12" s="12" t="str">
        <f aca="false">IF(E12="","",LEN(E12)-LEN(SUBSTITUTE(E12,",",""))+1)</f>
        <v/>
      </c>
      <c r="G12" s="7"/>
    </row>
    <row r="13" customFormat="false" ht="39.75" hidden="false" customHeight="true" outlineLevel="0" collapsed="false">
      <c r="A13" s="15" t="s">
        <v>553</v>
      </c>
      <c r="B13" s="6" t="s">
        <v>554</v>
      </c>
      <c r="C13" s="5"/>
      <c r="D13" s="5"/>
      <c r="E13" s="5"/>
      <c r="F13" s="12" t="str">
        <f aca="false">IF(E13="","",LEN(E13)-LEN(SUBSTITUTE(E13,",",""))+1)</f>
        <v/>
      </c>
      <c r="G13" s="7"/>
    </row>
    <row r="14" customFormat="false" ht="39.75" hidden="false" customHeight="true" outlineLevel="0" collapsed="false">
      <c r="A14" s="15" t="s">
        <v>204</v>
      </c>
      <c r="B14" s="6" t="s">
        <v>555</v>
      </c>
      <c r="C14" s="5"/>
      <c r="D14" s="5"/>
      <c r="E14" s="5"/>
      <c r="F14" s="12" t="str">
        <f aca="false">IF(E14="","",LEN(E14)-LEN(SUBSTITUTE(E14,",",""))+1)</f>
        <v/>
      </c>
      <c r="G14" s="7"/>
    </row>
    <row r="15" customFormat="false" ht="39.75" hidden="false" customHeight="true" outlineLevel="0" collapsed="false">
      <c r="A15" s="15" t="s">
        <v>323</v>
      </c>
      <c r="B15" s="6" t="s">
        <v>556</v>
      </c>
      <c r="C15" s="5"/>
      <c r="D15" s="5"/>
      <c r="E15" s="5"/>
      <c r="F15" s="12" t="str">
        <f aca="false">IF(E15="","",LEN(E15)-LEN(SUBSTITUTE(E15,",",""))+1)</f>
        <v/>
      </c>
      <c r="G15" s="7"/>
    </row>
    <row r="16" customFormat="false" ht="39.75" hidden="false" customHeight="true" outlineLevel="0" collapsed="false">
      <c r="A16" s="15" t="s">
        <v>557</v>
      </c>
      <c r="B16" s="6" t="s">
        <v>558</v>
      </c>
      <c r="C16" s="5"/>
      <c r="D16" s="5"/>
      <c r="E16" s="5"/>
      <c r="F16" s="12" t="str">
        <f aca="false">IF(E16="","",LEN(E16)-LEN(SUBSTITUTE(E16,",",""))+1)</f>
        <v/>
      </c>
      <c r="G16" s="7"/>
    </row>
    <row r="18" customFormat="false" ht="15" hidden="false" customHeight="false" outlineLevel="0" collapsed="false">
      <c r="B18" s="10" t="s">
        <v>559</v>
      </c>
      <c r="C18" s="12" t="n">
        <f aca="false">SUM(F5:F16)</f>
        <v>0</v>
      </c>
    </row>
    <row r="19" customFormat="false" ht="23.85" hidden="false" customHeight="false" outlineLevel="0" collapsed="false">
      <c r="B19" s="10" t="s">
        <v>560</v>
      </c>
      <c r="C19" s="12" t="n">
        <f aca="false">COUNTIF('Test Cases'!E5:E64,"EP")+COUNTIF('Test Cases'!E5:E64,"BVA")</f>
        <v>0</v>
      </c>
    </row>
    <row r="20" customFormat="false" ht="15" hidden="false" customHeight="false" outlineLevel="0" collapsed="false">
      <c r="B20" s="10" t="s">
        <v>561</v>
      </c>
      <c r="C20" s="12" t="str">
        <f aca="false">IF(C19&gt;=20,"OK","Need at least 20")</f>
        <v>Need at least 20</v>
      </c>
    </row>
    <row r="22" customFormat="false" ht="15" hidden="false" customHeight="false" outlineLevel="0" collapsed="false">
      <c r="A22" s="16" t="s">
        <v>562</v>
      </c>
    </row>
  </sheetData>
  <conditionalFormatting sqref="C20">
    <cfRule type="expression" priority="2" aboveAverage="0" equalAverage="0" bottom="0" percent="0" rank="0" text="" dxfId="4">
      <formula>C20&lt;&gt;"OK"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6" min="6" style="0" width="32"/>
    <col collapsed="false" customWidth="true" hidden="false" outlineLevel="0" max="9" min="7" style="0" width="30"/>
    <col collapsed="false" customWidth="true" hidden="false" outlineLevel="0" max="12" min="10" style="0" width="12"/>
    <col collapsed="false" customWidth="true" hidden="false" outlineLevel="0" max="13" min="13" style="0" width="26"/>
  </cols>
  <sheetData>
    <row r="1" customFormat="false" ht="18.55" hidden="false" customHeight="false" outlineLevel="0" collapsed="false">
      <c r="A1" s="1" t="s">
        <v>40</v>
      </c>
    </row>
    <row r="2" customFormat="false" ht="15" hidden="false" customHeight="false" outlineLevel="0" collapsed="false">
      <c r="A2" s="2" t="s">
        <v>563</v>
      </c>
    </row>
    <row r="4" customFormat="false" ht="33.75" hidden="false" customHeight="true" outlineLevel="0" collapsed="false">
      <c r="A4" s="8" t="s">
        <v>564</v>
      </c>
      <c r="B4" s="13" t="s">
        <v>94</v>
      </c>
      <c r="C4" s="13" t="s">
        <v>202</v>
      </c>
      <c r="D4" s="13" t="s">
        <v>565</v>
      </c>
      <c r="E4" s="13" t="s">
        <v>566</v>
      </c>
      <c r="F4" s="13" t="s">
        <v>567</v>
      </c>
      <c r="G4" s="13" t="s">
        <v>568</v>
      </c>
      <c r="H4" s="13" t="s">
        <v>569</v>
      </c>
      <c r="I4" s="13" t="s">
        <v>570</v>
      </c>
      <c r="J4" s="13" t="s">
        <v>571</v>
      </c>
      <c r="K4" s="13" t="s">
        <v>572</v>
      </c>
      <c r="L4" s="13" t="s">
        <v>151</v>
      </c>
      <c r="M4" s="14" t="s">
        <v>99</v>
      </c>
    </row>
    <row r="5" customFormat="false" ht="33.75" hidden="false" customHeight="true" outlineLevel="0" collapsed="false">
      <c r="A5" s="15" t="s">
        <v>573</v>
      </c>
      <c r="B5" s="5"/>
      <c r="C5" s="5"/>
      <c r="D5" s="5"/>
      <c r="E5" s="5"/>
      <c r="F5" s="5"/>
      <c r="G5" s="5"/>
      <c r="H5" s="5"/>
      <c r="I5" s="5"/>
      <c r="J5" s="5"/>
      <c r="K5" s="5"/>
      <c r="L5" s="5"/>
      <c r="M5" s="7"/>
    </row>
    <row r="6" customFormat="false" ht="33.75" hidden="false" customHeight="true" outlineLevel="0" collapsed="false">
      <c r="A6" s="15" t="s">
        <v>574</v>
      </c>
      <c r="B6" s="5"/>
      <c r="C6" s="5"/>
      <c r="D6" s="5"/>
      <c r="E6" s="5"/>
      <c r="F6" s="5"/>
      <c r="G6" s="5"/>
      <c r="H6" s="5"/>
      <c r="I6" s="5"/>
      <c r="J6" s="5"/>
      <c r="K6" s="5"/>
      <c r="L6" s="5"/>
      <c r="M6" s="7"/>
    </row>
    <row r="7" customFormat="false" ht="33.75" hidden="false" customHeight="true" outlineLevel="0" collapsed="false">
      <c r="A7" s="15" t="s">
        <v>575</v>
      </c>
      <c r="B7" s="5"/>
      <c r="C7" s="5"/>
      <c r="D7" s="5"/>
      <c r="E7" s="5"/>
      <c r="F7" s="5"/>
      <c r="G7" s="5"/>
      <c r="H7" s="5"/>
      <c r="I7" s="5"/>
      <c r="J7" s="5"/>
      <c r="K7" s="5"/>
      <c r="L7" s="5"/>
      <c r="M7" s="7"/>
    </row>
    <row r="8" customFormat="false" ht="33.75" hidden="false" customHeight="true" outlineLevel="0" collapsed="false">
      <c r="A8" s="15" t="s">
        <v>576</v>
      </c>
      <c r="B8" s="5"/>
      <c r="C8" s="5"/>
      <c r="D8" s="5"/>
      <c r="E8" s="5"/>
      <c r="F8" s="5"/>
      <c r="G8" s="5"/>
      <c r="H8" s="5"/>
      <c r="I8" s="5"/>
      <c r="J8" s="5"/>
      <c r="K8" s="5"/>
      <c r="L8" s="5"/>
      <c r="M8" s="7"/>
    </row>
    <row r="9" customFormat="false" ht="33.75" hidden="false" customHeight="true" outlineLevel="0" collapsed="false">
      <c r="A9" s="15" t="s">
        <v>577</v>
      </c>
      <c r="B9" s="5"/>
      <c r="C9" s="5"/>
      <c r="D9" s="5"/>
      <c r="E9" s="5"/>
      <c r="F9" s="5"/>
      <c r="G9" s="5"/>
      <c r="H9" s="5"/>
      <c r="I9" s="5"/>
      <c r="J9" s="5"/>
      <c r="K9" s="5"/>
      <c r="L9" s="5"/>
      <c r="M9" s="7"/>
    </row>
    <row r="10" customFormat="false" ht="33.75" hidden="false" customHeight="true" outlineLevel="0" collapsed="false">
      <c r="A10" s="15" t="s">
        <v>578</v>
      </c>
      <c r="B10" s="5"/>
      <c r="C10" s="5"/>
      <c r="D10" s="5"/>
      <c r="E10" s="5"/>
      <c r="F10" s="5"/>
      <c r="G10" s="5"/>
      <c r="H10" s="5"/>
      <c r="I10" s="5"/>
      <c r="J10" s="5"/>
      <c r="K10" s="5"/>
      <c r="L10" s="5"/>
      <c r="M10" s="7"/>
    </row>
    <row r="11" customFormat="false" ht="33.75" hidden="false" customHeight="true" outlineLevel="0" collapsed="false">
      <c r="A11" s="15" t="s">
        <v>579</v>
      </c>
      <c r="B11" s="5"/>
      <c r="C11" s="5"/>
      <c r="D11" s="5"/>
      <c r="E11" s="5"/>
      <c r="F11" s="5"/>
      <c r="G11" s="5"/>
      <c r="H11" s="5"/>
      <c r="I11" s="5"/>
      <c r="J11" s="5"/>
      <c r="K11" s="5"/>
      <c r="L11" s="5"/>
      <c r="M11" s="7"/>
    </row>
    <row r="12" customFormat="false" ht="33.75" hidden="false" customHeight="true" outlineLevel="0" collapsed="false">
      <c r="A12" s="15" t="s">
        <v>580</v>
      </c>
      <c r="B12" s="5"/>
      <c r="C12" s="5"/>
      <c r="D12" s="5"/>
      <c r="E12" s="5"/>
      <c r="F12" s="5"/>
      <c r="G12" s="5"/>
      <c r="H12" s="5"/>
      <c r="I12" s="5"/>
      <c r="J12" s="5"/>
      <c r="K12" s="5"/>
      <c r="L12" s="5"/>
      <c r="M12" s="7"/>
    </row>
    <row r="13" customFormat="false" ht="33.75" hidden="false" customHeight="true" outlineLevel="0" collapsed="false">
      <c r="A13" s="15" t="s">
        <v>581</v>
      </c>
      <c r="B13" s="5"/>
      <c r="C13" s="5"/>
      <c r="D13" s="5"/>
      <c r="E13" s="5"/>
      <c r="F13" s="5"/>
      <c r="G13" s="5"/>
      <c r="H13" s="5"/>
      <c r="I13" s="5"/>
      <c r="J13" s="5"/>
      <c r="K13" s="5"/>
      <c r="L13" s="5"/>
      <c r="M13" s="7"/>
    </row>
    <row r="14" customFormat="false" ht="33.75" hidden="false" customHeight="true" outlineLevel="0" collapsed="false">
      <c r="A14" s="15" t="s">
        <v>582</v>
      </c>
      <c r="B14" s="5"/>
      <c r="C14" s="5"/>
      <c r="D14" s="5"/>
      <c r="E14" s="5"/>
      <c r="F14" s="5"/>
      <c r="G14" s="5"/>
      <c r="H14" s="5"/>
      <c r="I14" s="5"/>
      <c r="J14" s="5"/>
      <c r="K14" s="5"/>
      <c r="L14" s="5"/>
      <c r="M14" s="7"/>
    </row>
    <row r="15" customFormat="false" ht="33.75" hidden="false" customHeight="true" outlineLevel="0" collapsed="false">
      <c r="A15" s="15" t="s">
        <v>583</v>
      </c>
      <c r="B15" s="5"/>
      <c r="C15" s="5"/>
      <c r="D15" s="5"/>
      <c r="E15" s="5"/>
      <c r="F15" s="5"/>
      <c r="G15" s="5"/>
      <c r="H15" s="5"/>
      <c r="I15" s="5"/>
      <c r="J15" s="5"/>
      <c r="K15" s="5"/>
      <c r="L15" s="5"/>
      <c r="M15" s="7"/>
    </row>
    <row r="16" customFormat="false" ht="33.75" hidden="false" customHeight="true" outlineLevel="0" collapsed="false">
      <c r="A16" s="15" t="s">
        <v>584</v>
      </c>
      <c r="B16" s="5"/>
      <c r="C16" s="5"/>
      <c r="D16" s="5"/>
      <c r="E16" s="5"/>
      <c r="F16" s="5"/>
      <c r="G16" s="5"/>
      <c r="H16" s="5"/>
      <c r="I16" s="5"/>
      <c r="J16" s="5"/>
      <c r="K16" s="5"/>
      <c r="L16" s="5"/>
      <c r="M16" s="7"/>
    </row>
    <row r="17" customFormat="false" ht="33.75" hidden="false" customHeight="true" outlineLevel="0" collapsed="false">
      <c r="A17" s="15" t="s">
        <v>585</v>
      </c>
      <c r="B17" s="5"/>
      <c r="C17" s="5"/>
      <c r="D17" s="5"/>
      <c r="E17" s="5"/>
      <c r="F17" s="5"/>
      <c r="G17" s="5"/>
      <c r="H17" s="5"/>
      <c r="I17" s="5"/>
      <c r="J17" s="5"/>
      <c r="K17" s="5"/>
      <c r="L17" s="5"/>
      <c r="M17" s="7"/>
    </row>
    <row r="18" customFormat="false" ht="33.75" hidden="false" customHeight="true" outlineLevel="0" collapsed="false">
      <c r="A18" s="15" t="s">
        <v>586</v>
      </c>
      <c r="B18" s="5"/>
      <c r="C18" s="5"/>
      <c r="D18" s="5"/>
      <c r="E18" s="5"/>
      <c r="F18" s="5"/>
      <c r="G18" s="5"/>
      <c r="H18" s="5"/>
      <c r="I18" s="5"/>
      <c r="J18" s="5"/>
      <c r="K18" s="5"/>
      <c r="L18" s="5"/>
      <c r="M18" s="7"/>
    </row>
    <row r="19" customFormat="false" ht="33.75" hidden="false" customHeight="true" outlineLevel="0" collapsed="false">
      <c r="A19" s="15" t="s">
        <v>587</v>
      </c>
      <c r="B19" s="5"/>
      <c r="C19" s="5"/>
      <c r="D19" s="5"/>
      <c r="E19" s="5"/>
      <c r="F19" s="5"/>
      <c r="G19" s="5"/>
      <c r="H19" s="5"/>
      <c r="I19" s="5"/>
      <c r="J19" s="5"/>
      <c r="K19" s="5"/>
      <c r="L19" s="5"/>
      <c r="M19" s="7"/>
    </row>
    <row r="20" customFormat="false" ht="33.75" hidden="false" customHeight="true" outlineLevel="0" collapsed="false">
      <c r="A20" s="15" t="s">
        <v>588</v>
      </c>
      <c r="B20" s="5"/>
      <c r="C20" s="5"/>
      <c r="D20" s="5"/>
      <c r="E20" s="5"/>
      <c r="F20" s="5"/>
      <c r="G20" s="5"/>
      <c r="H20" s="5"/>
      <c r="I20" s="5"/>
      <c r="J20" s="5"/>
      <c r="K20" s="5"/>
      <c r="L20" s="5"/>
      <c r="M20" s="7"/>
    </row>
    <row r="21" customFormat="false" ht="33.75" hidden="false" customHeight="true" outlineLevel="0" collapsed="false">
      <c r="A21" s="15" t="s">
        <v>589</v>
      </c>
      <c r="B21" s="5"/>
      <c r="C21" s="5"/>
      <c r="D21" s="5"/>
      <c r="E21" s="5"/>
      <c r="F21" s="5"/>
      <c r="G21" s="5"/>
      <c r="H21" s="5"/>
      <c r="I21" s="5"/>
      <c r="J21" s="5"/>
      <c r="K21" s="5"/>
      <c r="L21" s="5"/>
      <c r="M21" s="7"/>
    </row>
    <row r="22" customFormat="false" ht="33.75" hidden="false" customHeight="true" outlineLevel="0" collapsed="false">
      <c r="A22" s="15" t="s">
        <v>590</v>
      </c>
      <c r="B22" s="5"/>
      <c r="C22" s="5"/>
      <c r="D22" s="5"/>
      <c r="E22" s="5"/>
      <c r="F22" s="5"/>
      <c r="G22" s="5"/>
      <c r="H22" s="5"/>
      <c r="I22" s="5"/>
      <c r="J22" s="5"/>
      <c r="K22" s="5"/>
      <c r="L22" s="5"/>
      <c r="M22" s="7"/>
    </row>
    <row r="23" customFormat="false" ht="33.75" hidden="false" customHeight="true" outlineLevel="0" collapsed="false">
      <c r="A23" s="15" t="s">
        <v>591</v>
      </c>
      <c r="B23" s="5"/>
      <c r="C23" s="5"/>
      <c r="D23" s="5"/>
      <c r="E23" s="5"/>
      <c r="F23" s="5"/>
      <c r="G23" s="5"/>
      <c r="H23" s="5"/>
      <c r="I23" s="5"/>
      <c r="J23" s="5"/>
      <c r="K23" s="5"/>
      <c r="L23" s="5"/>
      <c r="M23" s="7"/>
    </row>
    <row r="24" customFormat="false" ht="33.75" hidden="false" customHeight="true" outlineLevel="0" collapsed="false">
      <c r="A24" s="15" t="s">
        <v>592</v>
      </c>
      <c r="B24" s="5"/>
      <c r="C24" s="5"/>
      <c r="D24" s="5"/>
      <c r="E24" s="5"/>
      <c r="F24" s="5"/>
      <c r="G24" s="5"/>
      <c r="H24" s="5"/>
      <c r="I24" s="5"/>
      <c r="J24" s="5"/>
      <c r="K24" s="5"/>
      <c r="L24" s="5"/>
      <c r="M24" s="7"/>
    </row>
    <row r="25" customFormat="false" ht="33.75" hidden="false" customHeight="true" outlineLevel="0" collapsed="false">
      <c r="A25" s="15" t="s">
        <v>593</v>
      </c>
      <c r="B25" s="5"/>
      <c r="C25" s="5"/>
      <c r="D25" s="5"/>
      <c r="E25" s="5"/>
      <c r="F25" s="5"/>
      <c r="G25" s="5"/>
      <c r="H25" s="5"/>
      <c r="I25" s="5"/>
      <c r="J25" s="5"/>
      <c r="K25" s="5"/>
      <c r="L25" s="5"/>
      <c r="M25" s="7"/>
    </row>
    <row r="26" customFormat="false" ht="33.75" hidden="false" customHeight="true" outlineLevel="0" collapsed="false">
      <c r="A26" s="15" t="s">
        <v>594</v>
      </c>
      <c r="B26" s="5"/>
      <c r="C26" s="5"/>
      <c r="D26" s="5"/>
      <c r="E26" s="5"/>
      <c r="F26" s="5"/>
      <c r="G26" s="5"/>
      <c r="H26" s="5"/>
      <c r="I26" s="5"/>
      <c r="J26" s="5"/>
      <c r="K26" s="5"/>
      <c r="L26" s="5"/>
      <c r="M26" s="7"/>
    </row>
    <row r="27" customFormat="false" ht="33.75" hidden="false" customHeight="true" outlineLevel="0" collapsed="false">
      <c r="A27" s="15" t="s">
        <v>595</v>
      </c>
      <c r="B27" s="5"/>
      <c r="C27" s="5"/>
      <c r="D27" s="5"/>
      <c r="E27" s="5"/>
      <c r="F27" s="5"/>
      <c r="G27" s="5"/>
      <c r="H27" s="5"/>
      <c r="I27" s="5"/>
      <c r="J27" s="5"/>
      <c r="K27" s="5"/>
      <c r="L27" s="5"/>
      <c r="M27" s="7"/>
    </row>
    <row r="28" customFormat="false" ht="33.75" hidden="false" customHeight="true" outlineLevel="0" collapsed="false">
      <c r="A28" s="15" t="s">
        <v>596</v>
      </c>
      <c r="B28" s="5"/>
      <c r="C28" s="5"/>
      <c r="D28" s="5"/>
      <c r="E28" s="5"/>
      <c r="F28" s="5"/>
      <c r="G28" s="5"/>
      <c r="H28" s="5"/>
      <c r="I28" s="5"/>
      <c r="J28" s="5"/>
      <c r="K28" s="5"/>
      <c r="L28" s="5"/>
      <c r="M28" s="7"/>
    </row>
    <row r="29" customFormat="false" ht="33.75" hidden="false" customHeight="true" outlineLevel="0" collapsed="false">
      <c r="A29" s="15" t="s">
        <v>597</v>
      </c>
      <c r="B29" s="5"/>
      <c r="C29" s="5"/>
      <c r="D29" s="5"/>
      <c r="E29" s="5"/>
      <c r="F29" s="5"/>
      <c r="G29" s="5"/>
      <c r="H29" s="5"/>
      <c r="I29" s="5"/>
      <c r="J29" s="5"/>
      <c r="K29" s="5"/>
      <c r="L29" s="5"/>
      <c r="M29" s="7"/>
    </row>
    <row r="30" customFormat="false" ht="33.75" hidden="false" customHeight="true" outlineLevel="0" collapsed="false">
      <c r="A30" s="15" t="s">
        <v>598</v>
      </c>
      <c r="B30" s="5"/>
      <c r="C30" s="5"/>
      <c r="D30" s="5"/>
      <c r="E30" s="5"/>
      <c r="F30" s="5"/>
      <c r="G30" s="5"/>
      <c r="H30" s="5"/>
      <c r="I30" s="5"/>
      <c r="J30" s="5"/>
      <c r="K30" s="5"/>
      <c r="L30" s="5"/>
      <c r="M30" s="7"/>
    </row>
    <row r="31" customFormat="false" ht="33.75" hidden="false" customHeight="true" outlineLevel="0" collapsed="false">
      <c r="A31" s="15" t="s">
        <v>599</v>
      </c>
      <c r="B31" s="5"/>
      <c r="C31" s="5"/>
      <c r="D31" s="5"/>
      <c r="E31" s="5"/>
      <c r="F31" s="5"/>
      <c r="G31" s="5"/>
      <c r="H31" s="5"/>
      <c r="I31" s="5"/>
      <c r="J31" s="5"/>
      <c r="K31" s="5"/>
      <c r="L31" s="5"/>
      <c r="M31" s="7"/>
    </row>
    <row r="32" customFormat="false" ht="33.75" hidden="false" customHeight="true" outlineLevel="0" collapsed="false">
      <c r="A32" s="15" t="s">
        <v>600</v>
      </c>
      <c r="B32" s="5"/>
      <c r="C32" s="5"/>
      <c r="D32" s="5"/>
      <c r="E32" s="5"/>
      <c r="F32" s="5"/>
      <c r="G32" s="5"/>
      <c r="H32" s="5"/>
      <c r="I32" s="5"/>
      <c r="J32" s="5"/>
      <c r="K32" s="5"/>
      <c r="L32" s="5"/>
      <c r="M32" s="7"/>
    </row>
    <row r="33" customFormat="false" ht="33.75" hidden="false" customHeight="true" outlineLevel="0" collapsed="false">
      <c r="A33" s="15" t="s">
        <v>601</v>
      </c>
      <c r="B33" s="5"/>
      <c r="C33" s="5"/>
      <c r="D33" s="5"/>
      <c r="E33" s="5"/>
      <c r="F33" s="5"/>
      <c r="G33" s="5"/>
      <c r="H33" s="5"/>
      <c r="I33" s="5"/>
      <c r="J33" s="5"/>
      <c r="K33" s="5"/>
      <c r="L33" s="5"/>
      <c r="M33" s="7"/>
    </row>
    <row r="34" customFormat="false" ht="33.75" hidden="false" customHeight="true" outlineLevel="0" collapsed="false">
      <c r="A34" s="15" t="s">
        <v>602</v>
      </c>
      <c r="B34" s="5"/>
      <c r="C34" s="5"/>
      <c r="D34" s="5"/>
      <c r="E34" s="5"/>
      <c r="F34" s="5"/>
      <c r="G34" s="5"/>
      <c r="H34" s="5"/>
      <c r="I34" s="5"/>
      <c r="J34" s="5"/>
      <c r="K34" s="5"/>
      <c r="L34" s="5"/>
      <c r="M34" s="7"/>
    </row>
    <row r="35" customFormat="false" ht="33.75" hidden="false" customHeight="true" outlineLevel="0" collapsed="false">
      <c r="A35" s="15" t="s">
        <v>603</v>
      </c>
      <c r="B35" s="5"/>
      <c r="C35" s="5"/>
      <c r="D35" s="5"/>
      <c r="E35" s="5"/>
      <c r="F35" s="5"/>
      <c r="G35" s="5"/>
      <c r="H35" s="5"/>
      <c r="I35" s="5"/>
      <c r="J35" s="5"/>
      <c r="K35" s="5"/>
      <c r="L35" s="5"/>
      <c r="M35" s="7"/>
    </row>
    <row r="36" customFormat="false" ht="33.75" hidden="false" customHeight="true" outlineLevel="0" collapsed="false">
      <c r="A36" s="15" t="s">
        <v>604</v>
      </c>
      <c r="B36" s="5"/>
      <c r="C36" s="5"/>
      <c r="D36" s="5"/>
      <c r="E36" s="5"/>
      <c r="F36" s="5"/>
      <c r="G36" s="5"/>
      <c r="H36" s="5"/>
      <c r="I36" s="5"/>
      <c r="J36" s="5"/>
      <c r="K36" s="5"/>
      <c r="L36" s="5"/>
      <c r="M36" s="7"/>
    </row>
    <row r="37" customFormat="false" ht="33.75" hidden="false" customHeight="true" outlineLevel="0" collapsed="false">
      <c r="A37" s="15" t="s">
        <v>605</v>
      </c>
      <c r="B37" s="5"/>
      <c r="C37" s="5"/>
      <c r="D37" s="5"/>
      <c r="E37" s="5"/>
      <c r="F37" s="5"/>
      <c r="G37" s="5"/>
      <c r="H37" s="5"/>
      <c r="I37" s="5"/>
      <c r="J37" s="5"/>
      <c r="K37" s="5"/>
      <c r="L37" s="5"/>
      <c r="M37" s="7"/>
    </row>
    <row r="38" customFormat="false" ht="33.75" hidden="false" customHeight="true" outlineLevel="0" collapsed="false">
      <c r="A38" s="15" t="s">
        <v>606</v>
      </c>
      <c r="B38" s="5"/>
      <c r="C38" s="5"/>
      <c r="D38" s="5"/>
      <c r="E38" s="5"/>
      <c r="F38" s="5"/>
      <c r="G38" s="5"/>
      <c r="H38" s="5"/>
      <c r="I38" s="5"/>
      <c r="J38" s="5"/>
      <c r="K38" s="5"/>
      <c r="L38" s="5"/>
      <c r="M38" s="7"/>
    </row>
    <row r="39" customFormat="false" ht="33.75" hidden="false" customHeight="true" outlineLevel="0" collapsed="false">
      <c r="A39" s="15" t="s">
        <v>607</v>
      </c>
      <c r="B39" s="5"/>
      <c r="C39" s="5"/>
      <c r="D39" s="5"/>
      <c r="E39" s="5"/>
      <c r="F39" s="5"/>
      <c r="G39" s="5"/>
      <c r="H39" s="5"/>
      <c r="I39" s="5"/>
      <c r="J39" s="5"/>
      <c r="K39" s="5"/>
      <c r="L39" s="5"/>
      <c r="M39" s="7"/>
    </row>
    <row r="40" customFormat="false" ht="33.75" hidden="false" customHeight="true" outlineLevel="0" collapsed="false">
      <c r="A40" s="15" t="s">
        <v>608</v>
      </c>
      <c r="B40" s="5"/>
      <c r="C40" s="5"/>
      <c r="D40" s="5"/>
      <c r="E40" s="5"/>
      <c r="F40" s="5"/>
      <c r="G40" s="5"/>
      <c r="H40" s="5"/>
      <c r="I40" s="5"/>
      <c r="J40" s="5"/>
      <c r="K40" s="5"/>
      <c r="L40" s="5"/>
      <c r="M40" s="7"/>
    </row>
    <row r="41" customFormat="false" ht="33.75" hidden="false" customHeight="true" outlineLevel="0" collapsed="false">
      <c r="A41" s="15" t="s">
        <v>609</v>
      </c>
      <c r="B41" s="5"/>
      <c r="C41" s="5"/>
      <c r="D41" s="5"/>
      <c r="E41" s="5"/>
      <c r="F41" s="5"/>
      <c r="G41" s="5"/>
      <c r="H41" s="5"/>
      <c r="I41" s="5"/>
      <c r="J41" s="5"/>
      <c r="K41" s="5"/>
      <c r="L41" s="5"/>
      <c r="M41" s="7"/>
    </row>
    <row r="42" customFormat="false" ht="33.75" hidden="false" customHeight="true" outlineLevel="0" collapsed="false">
      <c r="A42" s="15" t="s">
        <v>610</v>
      </c>
      <c r="B42" s="5"/>
      <c r="C42" s="5"/>
      <c r="D42" s="5"/>
      <c r="E42" s="5"/>
      <c r="F42" s="5"/>
      <c r="G42" s="5"/>
      <c r="H42" s="5"/>
      <c r="I42" s="5"/>
      <c r="J42" s="5"/>
      <c r="K42" s="5"/>
      <c r="L42" s="5"/>
      <c r="M42" s="7"/>
    </row>
    <row r="43" customFormat="false" ht="33.75" hidden="false" customHeight="true" outlineLevel="0" collapsed="false">
      <c r="A43" s="15" t="s">
        <v>611</v>
      </c>
      <c r="B43" s="5"/>
      <c r="C43" s="5"/>
      <c r="D43" s="5"/>
      <c r="E43" s="5"/>
      <c r="F43" s="5"/>
      <c r="G43" s="5"/>
      <c r="H43" s="5"/>
      <c r="I43" s="5"/>
      <c r="J43" s="5"/>
      <c r="K43" s="5"/>
      <c r="L43" s="5"/>
      <c r="M43" s="7"/>
    </row>
    <row r="44" customFormat="false" ht="33.75" hidden="false" customHeight="true" outlineLevel="0" collapsed="false">
      <c r="A44" s="15" t="s">
        <v>612</v>
      </c>
      <c r="B44" s="5"/>
      <c r="C44" s="5"/>
      <c r="D44" s="5"/>
      <c r="E44" s="5"/>
      <c r="F44" s="5"/>
      <c r="G44" s="5"/>
      <c r="H44" s="5"/>
      <c r="I44" s="5"/>
      <c r="J44" s="5"/>
      <c r="K44" s="5"/>
      <c r="L44" s="5"/>
      <c r="M44" s="7"/>
    </row>
    <row r="45" customFormat="false" ht="33.75" hidden="false" customHeight="true" outlineLevel="0" collapsed="false">
      <c r="A45" s="15" t="s">
        <v>613</v>
      </c>
      <c r="B45" s="5"/>
      <c r="C45" s="5"/>
      <c r="D45" s="5"/>
      <c r="E45" s="5"/>
      <c r="F45" s="5"/>
      <c r="G45" s="5"/>
      <c r="H45" s="5"/>
      <c r="I45" s="5"/>
      <c r="J45" s="5"/>
      <c r="K45" s="5"/>
      <c r="L45" s="5"/>
      <c r="M45" s="7"/>
    </row>
    <row r="46" customFormat="false" ht="33.75" hidden="false" customHeight="true" outlineLevel="0" collapsed="false">
      <c r="A46" s="15" t="s">
        <v>614</v>
      </c>
      <c r="B46" s="5"/>
      <c r="C46" s="5"/>
      <c r="D46" s="5"/>
      <c r="E46" s="5"/>
      <c r="F46" s="5"/>
      <c r="G46" s="5"/>
      <c r="H46" s="5"/>
      <c r="I46" s="5"/>
      <c r="J46" s="5"/>
      <c r="K46" s="5"/>
      <c r="L46" s="5"/>
      <c r="M46" s="7"/>
    </row>
    <row r="47" customFormat="false" ht="33.75" hidden="false" customHeight="true" outlineLevel="0" collapsed="false">
      <c r="A47" s="15" t="s">
        <v>615</v>
      </c>
      <c r="B47" s="5"/>
      <c r="C47" s="5"/>
      <c r="D47" s="5"/>
      <c r="E47" s="5"/>
      <c r="F47" s="5"/>
      <c r="G47" s="5"/>
      <c r="H47" s="5"/>
      <c r="I47" s="5"/>
      <c r="J47" s="5"/>
      <c r="K47" s="5"/>
      <c r="L47" s="5"/>
      <c r="M47" s="7"/>
    </row>
    <row r="48" customFormat="false" ht="33.75" hidden="false" customHeight="true" outlineLevel="0" collapsed="false">
      <c r="A48" s="15" t="s">
        <v>616</v>
      </c>
      <c r="B48" s="5"/>
      <c r="C48" s="5"/>
      <c r="D48" s="5"/>
      <c r="E48" s="5"/>
      <c r="F48" s="5"/>
      <c r="G48" s="5"/>
      <c r="H48" s="5"/>
      <c r="I48" s="5"/>
      <c r="J48" s="5"/>
      <c r="K48" s="5"/>
      <c r="L48" s="5"/>
      <c r="M48" s="7"/>
    </row>
    <row r="49" customFormat="false" ht="33.75" hidden="false" customHeight="true" outlineLevel="0" collapsed="false">
      <c r="A49" s="15" t="s">
        <v>617</v>
      </c>
      <c r="B49" s="5"/>
      <c r="C49" s="5"/>
      <c r="D49" s="5"/>
      <c r="E49" s="5"/>
      <c r="F49" s="5"/>
      <c r="G49" s="5"/>
      <c r="H49" s="5"/>
      <c r="I49" s="5"/>
      <c r="J49" s="5"/>
      <c r="K49" s="5"/>
      <c r="L49" s="5"/>
      <c r="M49" s="7"/>
    </row>
    <row r="50" customFormat="false" ht="33.75" hidden="false" customHeight="true" outlineLevel="0" collapsed="false">
      <c r="A50" s="15" t="s">
        <v>618</v>
      </c>
      <c r="B50" s="5"/>
      <c r="C50" s="5"/>
      <c r="D50" s="5"/>
      <c r="E50" s="5"/>
      <c r="F50" s="5"/>
      <c r="G50" s="5"/>
      <c r="H50" s="5"/>
      <c r="I50" s="5"/>
      <c r="J50" s="5"/>
      <c r="K50" s="5"/>
      <c r="L50" s="5"/>
      <c r="M50" s="7"/>
    </row>
    <row r="51" customFormat="false" ht="33.75" hidden="false" customHeight="true" outlineLevel="0" collapsed="false">
      <c r="A51" s="15" t="s">
        <v>619</v>
      </c>
      <c r="B51" s="5"/>
      <c r="C51" s="5"/>
      <c r="D51" s="5"/>
      <c r="E51" s="5"/>
      <c r="F51" s="5"/>
      <c r="G51" s="5"/>
      <c r="H51" s="5"/>
      <c r="I51" s="5"/>
      <c r="J51" s="5"/>
      <c r="K51" s="5"/>
      <c r="L51" s="5"/>
      <c r="M51" s="7"/>
    </row>
    <row r="52" customFormat="false" ht="33.75" hidden="false" customHeight="true" outlineLevel="0" collapsed="false">
      <c r="A52" s="15" t="s">
        <v>620</v>
      </c>
      <c r="B52" s="5"/>
      <c r="C52" s="5"/>
      <c r="D52" s="5"/>
      <c r="E52" s="5"/>
      <c r="F52" s="5"/>
      <c r="G52" s="5"/>
      <c r="H52" s="5"/>
      <c r="I52" s="5"/>
      <c r="J52" s="5"/>
      <c r="K52" s="5"/>
      <c r="L52" s="5"/>
      <c r="M52" s="7"/>
    </row>
    <row r="53" customFormat="false" ht="33.75" hidden="false" customHeight="true" outlineLevel="0" collapsed="false">
      <c r="A53" s="15" t="s">
        <v>621</v>
      </c>
      <c r="B53" s="5"/>
      <c r="C53" s="5"/>
      <c r="D53" s="5"/>
      <c r="E53" s="5"/>
      <c r="F53" s="5"/>
      <c r="G53" s="5"/>
      <c r="H53" s="5"/>
      <c r="I53" s="5"/>
      <c r="J53" s="5"/>
      <c r="K53" s="5"/>
      <c r="L53" s="5"/>
      <c r="M53" s="7"/>
    </row>
    <row r="54" customFormat="false" ht="33.75" hidden="false" customHeight="true" outlineLevel="0" collapsed="false">
      <c r="A54" s="15" t="s">
        <v>622</v>
      </c>
      <c r="B54" s="5"/>
      <c r="C54" s="5"/>
      <c r="D54" s="5"/>
      <c r="E54" s="5"/>
      <c r="F54" s="5"/>
      <c r="G54" s="5"/>
      <c r="H54" s="5"/>
      <c r="I54" s="5"/>
      <c r="J54" s="5"/>
      <c r="K54" s="5"/>
      <c r="L54" s="5"/>
      <c r="M54" s="7"/>
    </row>
    <row r="55" customFormat="false" ht="33.75" hidden="false" customHeight="true" outlineLevel="0" collapsed="false">
      <c r="A55" s="15" t="s">
        <v>623</v>
      </c>
      <c r="B55" s="5"/>
      <c r="C55" s="5"/>
      <c r="D55" s="5"/>
      <c r="E55" s="5"/>
      <c r="F55" s="5"/>
      <c r="G55" s="5"/>
      <c r="H55" s="5"/>
      <c r="I55" s="5"/>
      <c r="J55" s="5"/>
      <c r="K55" s="5"/>
      <c r="L55" s="5"/>
      <c r="M55" s="7"/>
    </row>
    <row r="56" customFormat="false" ht="33.75" hidden="false" customHeight="true" outlineLevel="0" collapsed="false">
      <c r="A56" s="15" t="s">
        <v>624</v>
      </c>
      <c r="B56" s="5"/>
      <c r="C56" s="5"/>
      <c r="D56" s="5"/>
      <c r="E56" s="5"/>
      <c r="F56" s="5"/>
      <c r="G56" s="5"/>
      <c r="H56" s="5"/>
      <c r="I56" s="5"/>
      <c r="J56" s="5"/>
      <c r="K56" s="5"/>
      <c r="L56" s="5"/>
      <c r="M56" s="7"/>
    </row>
    <row r="57" customFormat="false" ht="33.75" hidden="false" customHeight="true" outlineLevel="0" collapsed="false">
      <c r="A57" s="15" t="s">
        <v>625</v>
      </c>
      <c r="B57" s="5"/>
      <c r="C57" s="5"/>
      <c r="D57" s="5"/>
      <c r="E57" s="5"/>
      <c r="F57" s="5"/>
      <c r="G57" s="5"/>
      <c r="H57" s="5"/>
      <c r="I57" s="5"/>
      <c r="J57" s="5"/>
      <c r="K57" s="5"/>
      <c r="L57" s="5"/>
      <c r="M57" s="7"/>
    </row>
    <row r="58" customFormat="false" ht="33.75" hidden="false" customHeight="true" outlineLevel="0" collapsed="false">
      <c r="A58" s="15" t="s">
        <v>626</v>
      </c>
      <c r="B58" s="5"/>
      <c r="C58" s="5"/>
      <c r="D58" s="5"/>
      <c r="E58" s="5"/>
      <c r="F58" s="5"/>
      <c r="G58" s="5"/>
      <c r="H58" s="5"/>
      <c r="I58" s="5"/>
      <c r="J58" s="5"/>
      <c r="K58" s="5"/>
      <c r="L58" s="5"/>
      <c r="M58" s="7"/>
    </row>
    <row r="59" customFormat="false" ht="33.75" hidden="false" customHeight="true" outlineLevel="0" collapsed="false">
      <c r="A59" s="15" t="s">
        <v>627</v>
      </c>
      <c r="B59" s="5"/>
      <c r="C59" s="5"/>
      <c r="D59" s="5"/>
      <c r="E59" s="5"/>
      <c r="F59" s="5"/>
      <c r="G59" s="5"/>
      <c r="H59" s="5"/>
      <c r="I59" s="5"/>
      <c r="J59" s="5"/>
      <c r="K59" s="5"/>
      <c r="L59" s="5"/>
      <c r="M59" s="7"/>
    </row>
    <row r="60" customFormat="false" ht="33.75" hidden="false" customHeight="true" outlineLevel="0" collapsed="false">
      <c r="A60" s="15" t="s">
        <v>628</v>
      </c>
      <c r="B60" s="5"/>
      <c r="C60" s="5"/>
      <c r="D60" s="5"/>
      <c r="E60" s="5"/>
      <c r="F60" s="5"/>
      <c r="G60" s="5"/>
      <c r="H60" s="5"/>
      <c r="I60" s="5"/>
      <c r="J60" s="5"/>
      <c r="K60" s="5"/>
      <c r="L60" s="5"/>
      <c r="M60" s="7"/>
    </row>
    <row r="61" customFormat="false" ht="33.75" hidden="false" customHeight="true" outlineLevel="0" collapsed="false">
      <c r="A61" s="15" t="s">
        <v>629</v>
      </c>
      <c r="B61" s="5"/>
      <c r="C61" s="5"/>
      <c r="D61" s="5"/>
      <c r="E61" s="5"/>
      <c r="F61" s="5"/>
      <c r="G61" s="5"/>
      <c r="H61" s="5"/>
      <c r="I61" s="5"/>
      <c r="J61" s="5"/>
      <c r="K61" s="5"/>
      <c r="L61" s="5"/>
      <c r="M61" s="7"/>
    </row>
    <row r="62" customFormat="false" ht="33.75" hidden="false" customHeight="true" outlineLevel="0" collapsed="false">
      <c r="A62" s="15" t="s">
        <v>630</v>
      </c>
      <c r="B62" s="5"/>
      <c r="C62" s="5"/>
      <c r="D62" s="5"/>
      <c r="E62" s="5"/>
      <c r="F62" s="5"/>
      <c r="G62" s="5"/>
      <c r="H62" s="5"/>
      <c r="I62" s="5"/>
      <c r="J62" s="5"/>
      <c r="K62" s="5"/>
      <c r="L62" s="5"/>
      <c r="M62" s="7"/>
    </row>
    <row r="63" customFormat="false" ht="33.75" hidden="false" customHeight="true" outlineLevel="0" collapsed="false">
      <c r="A63" s="15" t="s">
        <v>631</v>
      </c>
      <c r="B63" s="5"/>
      <c r="C63" s="5"/>
      <c r="D63" s="5"/>
      <c r="E63" s="5"/>
      <c r="F63" s="5"/>
      <c r="G63" s="5"/>
      <c r="H63" s="5"/>
      <c r="I63" s="5"/>
      <c r="J63" s="5"/>
      <c r="K63" s="5"/>
      <c r="L63" s="5"/>
      <c r="M63" s="7"/>
    </row>
    <row r="64" customFormat="false" ht="33.75" hidden="false" customHeight="true" outlineLevel="0" collapsed="false">
      <c r="A64" s="15" t="s">
        <v>632</v>
      </c>
      <c r="B64" s="5"/>
      <c r="C64" s="5"/>
      <c r="D64" s="5"/>
      <c r="E64" s="5"/>
      <c r="F64" s="5"/>
      <c r="G64" s="5"/>
      <c r="H64" s="5"/>
      <c r="I64" s="5"/>
      <c r="J64" s="5"/>
      <c r="K64" s="5"/>
      <c r="L64" s="5"/>
      <c r="M64" s="7"/>
    </row>
    <row r="66" customFormat="false" ht="15" hidden="false" customHeight="false" outlineLevel="0" collapsed="false">
      <c r="F66" s="10" t="s">
        <v>633</v>
      </c>
      <c r="G66" s="12" t="n">
        <f aca="false">COUNTIF(J5:J64,"Pass")</f>
        <v>0</v>
      </c>
    </row>
    <row r="67" customFormat="false" ht="15" hidden="false" customHeight="false" outlineLevel="0" collapsed="false">
      <c r="F67" s="10" t="s">
        <v>634</v>
      </c>
      <c r="G67" s="12" t="n">
        <f aca="false">COUNTIF(J5:J64,"Fail")</f>
        <v>0</v>
      </c>
    </row>
    <row r="68" customFormat="false" ht="15" hidden="false" customHeight="false" outlineLevel="0" collapsed="false">
      <c r="F68" s="10" t="s">
        <v>635</v>
      </c>
      <c r="G68" s="12" t="n">
        <f aca="false">COUNTIF(J5:J64,"Not run")</f>
        <v>0</v>
      </c>
    </row>
    <row r="69" customFormat="false" ht="15" hidden="false" customHeight="false" outlineLevel="0" collapsed="false">
      <c r="F69" s="10" t="s">
        <v>636</v>
      </c>
      <c r="G69" s="18" t="str">
        <f aca="false">IFERROR(G66/(G66+G67),"")</f>
        <v/>
      </c>
    </row>
    <row r="70" customFormat="false" ht="15" hidden="false" customHeight="false" outlineLevel="0" collapsed="false">
      <c r="F70" s="10" t="s">
        <v>637</v>
      </c>
      <c r="G70" s="12" t="n">
        <f aca="false">COUNTIF(E5:E64,"EP")+COUNTIF(E5:E64,"BVA")</f>
        <v>0</v>
      </c>
    </row>
    <row r="71" customFormat="false" ht="15" hidden="false" customHeight="false" outlineLevel="0" collapsed="false">
      <c r="F71" s="10" t="s">
        <v>638</v>
      </c>
      <c r="G71" s="12" t="n">
        <f aca="false">COUNTA('State Tests'!B17:B31)</f>
        <v>0</v>
      </c>
    </row>
  </sheetData>
  <conditionalFormatting sqref="J5:J64">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"Not run"</formula>
    </cfRule>
  </conditionalFormatting>
  <dataValidations count="2">
    <dataValidation allowBlank="true" error="Choose a value from the list." errorStyle="stop" operator="between" showDropDown="false" showErrorMessage="true" showInputMessage="false" sqref="E5:E64" type="list">
      <formula1>"EP,BVA,State,Functional,UI,Integration,Automated"</formula1>
      <formula2>0</formula2>
    </dataValidation>
    <dataValidation allowBlank="true" error="Choose a value from the list." errorStyle="stop" operator="between" showDropDown="false" showErrorMessage="true" showInputMessage="false" sqref="J5:J64" type="list">
      <formula1>"Pass,Fail,Not run"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22"/>
    <col collapsed="false" customWidth="true" hidden="false" outlineLevel="0" max="5" min="5" style="0" width="24"/>
    <col collapsed="false" customWidth="true" hidden="false" outlineLevel="0" max="7" min="6" style="0" width="34"/>
    <col collapsed="false" customWidth="true" hidden="false" outlineLevel="0" max="9" min="8" style="0" width="12"/>
  </cols>
  <sheetData>
    <row r="1" customFormat="false" ht="18.55" hidden="false" customHeight="false" outlineLevel="0" collapsed="false">
      <c r="A1" s="1" t="s">
        <v>639</v>
      </c>
    </row>
    <row r="2" customFormat="false" ht="15" hidden="false" customHeight="false" outlineLevel="0" collapsed="false">
      <c r="A2" s="2" t="s">
        <v>640</v>
      </c>
    </row>
    <row r="3" customFormat="false" ht="15" hidden="false" customHeight="false" outlineLevel="0" collapsed="false">
      <c r="A3" s="3" t="s">
        <v>641</v>
      </c>
    </row>
    <row r="4" customFormat="false" ht="15" hidden="false" customHeight="false" outlineLevel="0" collapsed="false">
      <c r="A4" s="8" t="s">
        <v>93</v>
      </c>
      <c r="B4" s="8" t="s">
        <v>642</v>
      </c>
      <c r="C4" s="8" t="s">
        <v>643</v>
      </c>
      <c r="D4" s="8" t="s">
        <v>644</v>
      </c>
      <c r="E4" s="8" t="s">
        <v>645</v>
      </c>
      <c r="F4" s="13" t="s">
        <v>646</v>
      </c>
      <c r="G4" s="13" t="s">
        <v>647</v>
      </c>
    </row>
    <row r="5" customFormat="false" ht="15" hidden="false" customHeight="false" outlineLevel="0" collapsed="false">
      <c r="A5" s="12" t="n">
        <v>1</v>
      </c>
      <c r="B5" s="6" t="s">
        <v>648</v>
      </c>
      <c r="C5" s="6" t="s">
        <v>649</v>
      </c>
      <c r="D5" s="6" t="s">
        <v>650</v>
      </c>
      <c r="E5" s="6" t="s">
        <v>651</v>
      </c>
      <c r="F5" s="5"/>
      <c r="G5" s="19"/>
    </row>
    <row r="6" customFormat="false" ht="15" hidden="false" customHeight="false" outlineLevel="0" collapsed="false">
      <c r="A6" s="12" t="n">
        <v>2</v>
      </c>
      <c r="B6" s="6" t="s">
        <v>648</v>
      </c>
      <c r="C6" s="6" t="s">
        <v>652</v>
      </c>
      <c r="D6" s="6" t="s">
        <v>653</v>
      </c>
      <c r="E6" s="6" t="s">
        <v>654</v>
      </c>
      <c r="F6" s="5"/>
      <c r="G6" s="19"/>
    </row>
    <row r="7" customFormat="false" ht="15" hidden="false" customHeight="false" outlineLevel="0" collapsed="false">
      <c r="A7" s="12" t="n">
        <v>3</v>
      </c>
      <c r="B7" s="6" t="s">
        <v>649</v>
      </c>
      <c r="C7" s="6" t="s">
        <v>655</v>
      </c>
      <c r="D7" s="6" t="s">
        <v>650</v>
      </c>
      <c r="E7" s="6" t="s">
        <v>656</v>
      </c>
      <c r="F7" s="5"/>
      <c r="G7" s="19"/>
    </row>
    <row r="8" customFormat="false" ht="15" hidden="false" customHeight="false" outlineLevel="0" collapsed="false">
      <c r="A8" s="12" t="n">
        <v>4</v>
      </c>
      <c r="B8" s="6" t="s">
        <v>649</v>
      </c>
      <c r="C8" s="6" t="s">
        <v>652</v>
      </c>
      <c r="D8" s="6" t="s">
        <v>657</v>
      </c>
      <c r="E8" s="6" t="s">
        <v>656</v>
      </c>
      <c r="F8" s="5"/>
      <c r="G8" s="19"/>
    </row>
    <row r="9" customFormat="false" ht="15" hidden="false" customHeight="false" outlineLevel="0" collapsed="false">
      <c r="A9" s="12" t="n">
        <v>5</v>
      </c>
      <c r="B9" s="6" t="s">
        <v>655</v>
      </c>
      <c r="C9" s="6" t="s">
        <v>658</v>
      </c>
      <c r="D9" s="6" t="s">
        <v>650</v>
      </c>
      <c r="E9" s="6" t="s">
        <v>656</v>
      </c>
      <c r="F9" s="5"/>
      <c r="G9" s="19"/>
    </row>
    <row r="10" customFormat="false" ht="15" hidden="false" customHeight="false" outlineLevel="0" collapsed="false">
      <c r="A10" s="12" t="n">
        <v>6</v>
      </c>
      <c r="B10" s="6" t="s">
        <v>658</v>
      </c>
      <c r="C10" s="6" t="s">
        <v>659</v>
      </c>
      <c r="D10" s="6" t="s">
        <v>660</v>
      </c>
      <c r="E10" s="6" t="s">
        <v>661</v>
      </c>
      <c r="F10" s="5"/>
      <c r="G10" s="19"/>
    </row>
    <row r="11" customFormat="false" ht="23.85" hidden="false" customHeight="false" outlineLevel="0" collapsed="false">
      <c r="A11" s="12" t="n">
        <v>7</v>
      </c>
      <c r="B11" s="6" t="s">
        <v>659</v>
      </c>
      <c r="C11" s="6" t="s">
        <v>662</v>
      </c>
      <c r="D11" s="6" t="s">
        <v>660</v>
      </c>
      <c r="E11" s="6" t="s">
        <v>663</v>
      </c>
      <c r="F11" s="5"/>
      <c r="G11" s="19"/>
    </row>
    <row r="12" customFormat="false" ht="15" hidden="false" customHeight="false" outlineLevel="0" collapsed="false">
      <c r="A12" s="12" t="n">
        <v>8</v>
      </c>
      <c r="B12" s="6" t="s">
        <v>659</v>
      </c>
      <c r="C12" s="6" t="s">
        <v>664</v>
      </c>
      <c r="D12" s="6" t="s">
        <v>660</v>
      </c>
      <c r="E12" s="6" t="s">
        <v>665</v>
      </c>
      <c r="F12" s="5"/>
      <c r="G12" s="19"/>
    </row>
    <row r="13" customFormat="false" ht="15" hidden="false" customHeight="false" outlineLevel="0" collapsed="false">
      <c r="E13" s="10" t="s">
        <v>666</v>
      </c>
      <c r="F13" s="12" t="str">
        <f aca="false">COUNTIF(G5:G12,"Yes")&amp;" of 8"</f>
        <v>0 of 8</v>
      </c>
    </row>
    <row r="15" customFormat="false" ht="15" hidden="false" customHeight="false" outlineLevel="0" collapsed="false">
      <c r="A15" s="3" t="s">
        <v>667</v>
      </c>
    </row>
    <row r="16" customFormat="false" ht="33.75" hidden="false" customHeight="true" outlineLevel="0" collapsed="false">
      <c r="A16" s="8" t="s">
        <v>564</v>
      </c>
      <c r="B16" s="13" t="s">
        <v>668</v>
      </c>
      <c r="C16" s="13" t="s">
        <v>669</v>
      </c>
      <c r="D16" s="13" t="s">
        <v>670</v>
      </c>
      <c r="E16" s="13" t="s">
        <v>671</v>
      </c>
      <c r="F16" s="13" t="s">
        <v>569</v>
      </c>
      <c r="G16" s="13" t="s">
        <v>570</v>
      </c>
      <c r="H16" s="13" t="s">
        <v>571</v>
      </c>
      <c r="I16" s="14" t="s">
        <v>99</v>
      </c>
    </row>
    <row r="17" customFormat="false" ht="27.75" hidden="false" customHeight="true" outlineLevel="0" collapsed="false">
      <c r="A17" s="15" t="s">
        <v>672</v>
      </c>
      <c r="B17" s="5"/>
      <c r="C17" s="5"/>
      <c r="D17" s="5"/>
      <c r="E17" s="5"/>
      <c r="F17" s="5"/>
      <c r="G17" s="5"/>
      <c r="H17" s="5"/>
      <c r="I17" s="7"/>
    </row>
    <row r="18" customFormat="false" ht="27.75" hidden="false" customHeight="true" outlineLevel="0" collapsed="false">
      <c r="A18" s="15" t="s">
        <v>673</v>
      </c>
      <c r="B18" s="5"/>
      <c r="C18" s="5"/>
      <c r="D18" s="5"/>
      <c r="E18" s="5"/>
      <c r="F18" s="5"/>
      <c r="G18" s="5"/>
      <c r="H18" s="5"/>
      <c r="I18" s="7"/>
    </row>
    <row r="19" customFormat="false" ht="27.75" hidden="false" customHeight="true" outlineLevel="0" collapsed="false">
      <c r="A19" s="15" t="s">
        <v>674</v>
      </c>
      <c r="B19" s="5"/>
      <c r="C19" s="5"/>
      <c r="D19" s="5"/>
      <c r="E19" s="5"/>
      <c r="F19" s="5"/>
      <c r="G19" s="5"/>
      <c r="H19" s="5"/>
      <c r="I19" s="7"/>
    </row>
    <row r="20" customFormat="false" ht="27.75" hidden="false" customHeight="true" outlineLevel="0" collapsed="false">
      <c r="A20" s="15" t="s">
        <v>675</v>
      </c>
      <c r="B20" s="5"/>
      <c r="C20" s="5"/>
      <c r="D20" s="5"/>
      <c r="E20" s="5"/>
      <c r="F20" s="5"/>
      <c r="G20" s="5"/>
      <c r="H20" s="5"/>
      <c r="I20" s="7"/>
    </row>
    <row r="21" customFormat="false" ht="27.75" hidden="false" customHeight="true" outlineLevel="0" collapsed="false">
      <c r="A21" s="15" t="s">
        <v>676</v>
      </c>
      <c r="B21" s="5"/>
      <c r="C21" s="5"/>
      <c r="D21" s="5"/>
      <c r="E21" s="5"/>
      <c r="F21" s="5"/>
      <c r="G21" s="5"/>
      <c r="H21" s="5"/>
      <c r="I21" s="7"/>
    </row>
    <row r="22" customFormat="false" ht="27.75" hidden="false" customHeight="true" outlineLevel="0" collapsed="false">
      <c r="A22" s="15" t="s">
        <v>677</v>
      </c>
      <c r="B22" s="5"/>
      <c r="C22" s="5"/>
      <c r="D22" s="5"/>
      <c r="E22" s="5"/>
      <c r="F22" s="5"/>
      <c r="G22" s="5"/>
      <c r="H22" s="5"/>
      <c r="I22" s="7"/>
    </row>
    <row r="23" customFormat="false" ht="27.75" hidden="false" customHeight="true" outlineLevel="0" collapsed="false">
      <c r="A23" s="15" t="s">
        <v>678</v>
      </c>
      <c r="B23" s="5"/>
      <c r="C23" s="5"/>
      <c r="D23" s="5"/>
      <c r="E23" s="5"/>
      <c r="F23" s="5"/>
      <c r="G23" s="5"/>
      <c r="H23" s="5"/>
      <c r="I23" s="7"/>
    </row>
    <row r="24" customFormat="false" ht="27.75" hidden="false" customHeight="true" outlineLevel="0" collapsed="false">
      <c r="A24" s="15" t="s">
        <v>679</v>
      </c>
      <c r="B24" s="5"/>
      <c r="C24" s="5"/>
      <c r="D24" s="5"/>
      <c r="E24" s="5"/>
      <c r="F24" s="5"/>
      <c r="G24" s="5"/>
      <c r="H24" s="5"/>
      <c r="I24" s="7"/>
    </row>
    <row r="25" customFormat="false" ht="27.75" hidden="false" customHeight="true" outlineLevel="0" collapsed="false">
      <c r="A25" s="15" t="s">
        <v>680</v>
      </c>
      <c r="B25" s="5"/>
      <c r="C25" s="5"/>
      <c r="D25" s="5"/>
      <c r="E25" s="5"/>
      <c r="F25" s="5"/>
      <c r="G25" s="5"/>
      <c r="H25" s="5"/>
      <c r="I25" s="7"/>
    </row>
    <row r="26" customFormat="false" ht="27.75" hidden="false" customHeight="true" outlineLevel="0" collapsed="false">
      <c r="A26" s="15" t="s">
        <v>681</v>
      </c>
      <c r="B26" s="5"/>
      <c r="C26" s="5"/>
      <c r="D26" s="5"/>
      <c r="E26" s="5"/>
      <c r="F26" s="5"/>
      <c r="G26" s="5"/>
      <c r="H26" s="5"/>
      <c r="I26" s="7"/>
    </row>
    <row r="27" customFormat="false" ht="27.75" hidden="false" customHeight="true" outlineLevel="0" collapsed="false">
      <c r="A27" s="15" t="s">
        <v>682</v>
      </c>
      <c r="B27" s="5"/>
      <c r="C27" s="5"/>
      <c r="D27" s="5"/>
      <c r="E27" s="5"/>
      <c r="F27" s="5"/>
      <c r="G27" s="5"/>
      <c r="H27" s="5"/>
      <c r="I27" s="7"/>
    </row>
    <row r="28" customFormat="false" ht="27.75" hidden="false" customHeight="true" outlineLevel="0" collapsed="false">
      <c r="A28" s="15" t="s">
        <v>683</v>
      </c>
      <c r="B28" s="5"/>
      <c r="C28" s="5"/>
      <c r="D28" s="5"/>
      <c r="E28" s="5"/>
      <c r="F28" s="5"/>
      <c r="G28" s="5"/>
      <c r="H28" s="5"/>
      <c r="I28" s="7"/>
    </row>
    <row r="29" customFormat="false" ht="27.75" hidden="false" customHeight="true" outlineLevel="0" collapsed="false">
      <c r="A29" s="15" t="s">
        <v>684</v>
      </c>
      <c r="B29" s="5"/>
      <c r="C29" s="5"/>
      <c r="D29" s="5"/>
      <c r="E29" s="5"/>
      <c r="F29" s="5"/>
      <c r="G29" s="5"/>
      <c r="H29" s="5"/>
      <c r="I29" s="7"/>
    </row>
    <row r="30" customFormat="false" ht="27.75" hidden="false" customHeight="true" outlineLevel="0" collapsed="false">
      <c r="A30" s="15" t="s">
        <v>685</v>
      </c>
      <c r="B30" s="5"/>
      <c r="C30" s="5"/>
      <c r="D30" s="5"/>
      <c r="E30" s="5"/>
      <c r="F30" s="5"/>
      <c r="G30" s="5"/>
      <c r="H30" s="5"/>
      <c r="I30" s="7"/>
    </row>
    <row r="31" customFormat="false" ht="27.75" hidden="false" customHeight="true" outlineLevel="0" collapsed="false">
      <c r="A31" s="15" t="s">
        <v>686</v>
      </c>
      <c r="B31" s="5"/>
      <c r="C31" s="5"/>
      <c r="D31" s="5"/>
      <c r="E31" s="5"/>
      <c r="F31" s="5"/>
      <c r="G31" s="5"/>
      <c r="H31" s="5"/>
      <c r="I31" s="7"/>
    </row>
    <row r="33" customFormat="false" ht="15" hidden="false" customHeight="false" outlineLevel="0" collapsed="false">
      <c r="E33" s="10" t="s">
        <v>687</v>
      </c>
      <c r="F33" s="12" t="n">
        <f aca="false">COUNTA(B17:B31)</f>
        <v>0</v>
      </c>
    </row>
    <row r="34" customFormat="false" ht="15" hidden="false" customHeight="false" outlineLevel="0" collapsed="false">
      <c r="E34" s="10" t="s">
        <v>688</v>
      </c>
      <c r="F34" s="12" t="str">
        <f aca="false">IF(F33&gt;=5,"OK","Need at least 5")</f>
        <v>Need at least 5</v>
      </c>
    </row>
    <row r="36" customFormat="false" ht="15" hidden="false" customHeight="false" outlineLevel="0" collapsed="false">
      <c r="A36" s="16" t="s">
        <v>689</v>
      </c>
    </row>
  </sheetData>
  <conditionalFormatting sqref="H17:H31">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"Not run"</formula>
    </cfRule>
  </conditionalFormatting>
  <conditionalFormatting sqref="F34">
    <cfRule type="expression" priority="5" aboveAverage="0" equalAverage="0" bottom="0" percent="0" rank="0" text="" dxfId="11">
      <formula>F34&lt;&gt;"OK"</formula>
    </cfRule>
  </conditionalFormatting>
  <dataValidations count="3">
    <dataValidation allowBlank="true" errorStyle="stop" operator="between" showDropDown="false" showErrorMessage="false" showInputMessage="false" sqref="G5:G12" type="list">
      <formula1>"Yes,No"</formula1>
      <formula2>0</formula2>
    </dataValidation>
    <dataValidation allowBlank="true" error="Choose a value from the list." errorStyle="stop" operator="between" showDropDown="false" showErrorMessage="true" showInputMessage="false" sqref="C17:D31" type="list">
      <formula1>"Placed,Confirmed,Preparing,Ready,Out for Delivery,Delivered,Cancelled,Failed"</formula1>
      <formula2>0</formula2>
    </dataValidation>
    <dataValidation allowBlank="true" error="Choose a value from the list." errorStyle="stop" operator="between" showDropDown="false" showErrorMessage="true" showInputMessage="false" sqref="H17:H31" type="list">
      <formula1>"Pass,Fail,Not run"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2"/>
    <col collapsed="false" customWidth="true" hidden="false" outlineLevel="0" max="5" min="4" style="0" width="30"/>
    <col collapsed="false" customWidth="true" hidden="false" outlineLevel="0" max="6" min="6" style="0" width="24"/>
    <col collapsed="false" customWidth="true" hidden="false" outlineLevel="0" max="8" min="7" style="0" width="14"/>
    <col collapsed="false" customWidth="true" hidden="false" outlineLevel="0" max="9" min="9" style="0" width="28"/>
  </cols>
  <sheetData>
    <row r="1" customFormat="false" ht="18.55" hidden="false" customHeight="false" outlineLevel="0" collapsed="false">
      <c r="A1" s="1" t="s">
        <v>690</v>
      </c>
    </row>
    <row r="2" customFormat="false" ht="15" hidden="false" customHeight="false" outlineLevel="0" collapsed="false">
      <c r="A2" s="2" t="s">
        <v>691</v>
      </c>
    </row>
    <row r="4" customFormat="false" ht="36" hidden="false" customHeight="true" outlineLevel="0" collapsed="false">
      <c r="A4" s="8" t="s">
        <v>145</v>
      </c>
      <c r="B4" s="8" t="s">
        <v>194</v>
      </c>
      <c r="C4" s="8" t="s">
        <v>94</v>
      </c>
      <c r="D4" s="13" t="s">
        <v>692</v>
      </c>
      <c r="E4" s="13" t="s">
        <v>693</v>
      </c>
      <c r="F4" s="13" t="s">
        <v>694</v>
      </c>
      <c r="G4" s="13" t="s">
        <v>695</v>
      </c>
      <c r="H4" s="8" t="s">
        <v>696</v>
      </c>
      <c r="I4" s="14" t="s">
        <v>99</v>
      </c>
    </row>
    <row r="5" customFormat="false" ht="36" hidden="false" customHeight="true" outlineLevel="0" collapsed="false">
      <c r="A5" s="15" t="str">
        <f aca="false">IF(Requirements!A5="","",Requirements!A5)</f>
        <v>FR-A1</v>
      </c>
      <c r="B5" s="6" t="str">
        <f aca="false">IF(Requirements!B5="","",Requirements!B5)</f>
        <v>The system shall let an administrator create a brand (name, description, operating hubs) and create its menu items (name, category, positive VND price, brand and availability).</v>
      </c>
      <c r="C5" s="12" t="str">
        <f aca="false">IF(Requirements!E5="","",Requirements!E5)</f>
        <v>A</v>
      </c>
      <c r="D5" s="5" t="s">
        <v>697</v>
      </c>
      <c r="E5" s="5" t="s">
        <v>698</v>
      </c>
      <c r="F5" s="5" t="s">
        <v>699</v>
      </c>
      <c r="G5" s="19" t="s">
        <v>700</v>
      </c>
      <c r="H5" s="12" t="str">
        <f aca="false">IF(A5="","",IF(F5="","No test","OK"))</f>
        <v>OK</v>
      </c>
      <c r="I5" s="7"/>
    </row>
    <row r="6" customFormat="false" ht="24" hidden="false" customHeight="true" outlineLevel="0" collapsed="false">
      <c r="A6" s="15" t="str">
        <f aca="false">IF(Requirements!A6="","",Requirements!A6)</f>
        <v>FR-A2</v>
      </c>
      <c r="B6" s="6" t="str">
        <f aca="false">IF(Requirements!B6="","",Requirements!B6)</f>
        <v>The system shall let any visitor view brands and menu items filtered by hub and by category.</v>
      </c>
      <c r="C6" s="12" t="str">
        <f aca="false">IF(Requirements!E6="","",Requirements!E6)</f>
        <v>A</v>
      </c>
      <c r="D6" s="5" t="s">
        <v>701</v>
      </c>
      <c r="E6" s="5" t="s">
        <v>698</v>
      </c>
      <c r="F6" s="5" t="s">
        <v>702</v>
      </c>
      <c r="G6" s="19" t="s">
        <v>700</v>
      </c>
      <c r="H6" s="12" t="str">
        <f aca="false">IF(A6="","",IF(F6="","No test","OK"))</f>
        <v>OK</v>
      </c>
      <c r="I6" s="7"/>
    </row>
    <row r="7" customFormat="false" ht="24" hidden="false" customHeight="true" outlineLevel="0" collapsed="false">
      <c r="A7" s="15" t="str">
        <f aca="false">IF(Requirements!A7="","",Requirements!A7)</f>
        <v>FR-A3</v>
      </c>
      <c r="B7" s="6" t="str">
        <f aca="false">IF(Requirements!B7="","",Requirements!B7)</f>
        <v>The system shall let an administrator edit brand details and a menu item’s name, category, price and brand.</v>
      </c>
      <c r="C7" s="12" t="str">
        <f aca="false">IF(Requirements!E7="","",Requirements!E7)</f>
        <v>A</v>
      </c>
      <c r="D7" s="5" t="s">
        <v>703</v>
      </c>
      <c r="E7" s="5" t="s">
        <v>698</v>
      </c>
      <c r="F7" s="5" t="s">
        <v>704</v>
      </c>
      <c r="G7" s="19" t="s">
        <v>700</v>
      </c>
      <c r="H7" s="12" t="str">
        <f aca="false">IF(A7="","",IF(F7="","No test","OK"))</f>
        <v>OK</v>
      </c>
      <c r="I7" s="7"/>
    </row>
    <row r="8" customFormat="false" ht="24" hidden="false" customHeight="true" outlineLevel="0" collapsed="false">
      <c r="A8" s="15" t="str">
        <f aca="false">IF(Requirements!A8="","",Requirements!A8)</f>
        <v>FR-A4</v>
      </c>
      <c r="B8" s="6" t="str">
        <f aca="false">IF(Requirements!B8="","",Requirements!B8)</f>
        <v>The system shall soft-delete brands and menu items, so that historical orders and reports keep their names and prices.</v>
      </c>
      <c r="C8" s="12" t="str">
        <f aca="false">IF(Requirements!E8="","",Requirements!E8)</f>
        <v>A</v>
      </c>
      <c r="D8" s="5" t="s">
        <v>705</v>
      </c>
      <c r="E8" s="5" t="s">
        <v>706</v>
      </c>
      <c r="F8" s="5" t="s">
        <v>707</v>
      </c>
      <c r="G8" s="19" t="s">
        <v>700</v>
      </c>
      <c r="H8" s="12" t="str">
        <f aca="false">IF(A8="","",IF(F8="","No test","OK"))</f>
        <v>OK</v>
      </c>
      <c r="I8" s="7"/>
    </row>
    <row r="9" customFormat="false" ht="24" hidden="false" customHeight="true" outlineLevel="0" collapsed="false">
      <c r="A9" s="15" t="str">
        <f aca="false">IF(Requirements!A9="","",Requirements!A9)</f>
        <v>FR-A5</v>
      </c>
      <c r="B9" s="6" t="str">
        <f aca="false">IF(Requirements!B9="","",Requirements!B9)</f>
        <v>The system shall let an administrator set item availability; unavailable or inactive items shall not be orderable.</v>
      </c>
      <c r="C9" s="12" t="str">
        <f aca="false">IF(Requirements!E9="","",Requirements!E9)</f>
        <v>A</v>
      </c>
      <c r="D9" s="5" t="s">
        <v>708</v>
      </c>
      <c r="E9" s="5" t="s">
        <v>709</v>
      </c>
      <c r="F9" s="5" t="s">
        <v>710</v>
      </c>
      <c r="G9" s="19" t="s">
        <v>700</v>
      </c>
      <c r="H9" s="12" t="str">
        <f aca="false">IF(A9="","",IF(F9="","No test","OK"))</f>
        <v>OK</v>
      </c>
      <c r="I9" s="7"/>
    </row>
    <row r="10" customFormat="false" ht="24" hidden="false" customHeight="true" outlineLevel="0" collapsed="false">
      <c r="A10" s="15" t="str">
        <f aca="false">IF(Requirements!A10="","",Requirements!A10)</f>
        <v>FR-A6</v>
      </c>
      <c r="B10" s="6" t="str">
        <f aca="false">IF(Requirements!B10="","",Requirements!B10)</f>
        <v>The system shall reject any order line whose item belongs to a brand the chosen hub does not operate.</v>
      </c>
      <c r="C10" s="12" t="str">
        <f aca="false">IF(Requirements!E10="","",Requirements!E10)</f>
        <v>A</v>
      </c>
      <c r="D10" s="5" t="s">
        <v>711</v>
      </c>
      <c r="E10" s="5" t="s">
        <v>712</v>
      </c>
      <c r="F10" s="5" t="s">
        <v>713</v>
      </c>
      <c r="G10" s="19" t="s">
        <v>700</v>
      </c>
      <c r="H10" s="12" t="str">
        <f aca="false">IF(A10="","",IF(F10="","No test","OK"))</f>
        <v>OK</v>
      </c>
      <c r="I10" s="7"/>
    </row>
    <row r="11" customFormat="false" ht="36" hidden="false" customHeight="true" outlineLevel="0" collapsed="false">
      <c r="A11" s="15" t="str">
        <f aca="false">IF(Requirements!A11="","",Requirements!A11)</f>
        <v>FR-B1</v>
      </c>
      <c r="B11" s="6" t="str">
        <f aca="false">IF(Requirements!B11="","",Requirements!B11)</f>
        <v>The system shall let an administrator create a hub with a district, an address and a whole-number kitchen capacity greater than zero.</v>
      </c>
      <c r="C11" s="12" t="str">
        <f aca="false">IF(Requirements!E11="","",Requirements!E11)</f>
        <v>B</v>
      </c>
      <c r="D11" s="5" t="s">
        <v>714</v>
      </c>
      <c r="E11" s="5" t="s">
        <v>715</v>
      </c>
      <c r="F11" s="5" t="s">
        <v>716</v>
      </c>
      <c r="G11" s="19" t="s">
        <v>700</v>
      </c>
      <c r="H11" s="12" t="str">
        <f aca="false">IF(A11="","",IF(F11="","No test","OK"))</f>
        <v>OK</v>
      </c>
      <c r="I11" s="7"/>
    </row>
    <row r="12" customFormat="false" ht="36" hidden="false" customHeight="true" outlineLevel="0" collapsed="false">
      <c r="A12" s="15" t="str">
        <f aca="false">IF(Requirements!A12="","",Requirements!A12)</f>
        <v>FR-B2</v>
      </c>
      <c r="B12" s="6" t="str">
        <f aca="false">IF(Requirements!B12="","",Requirements!B12)</f>
        <v>The system shall display hub load as 100 times the count of Confirmed or Preparing orders divided by positive integer kitchen capacity; the new order is not counted.</v>
      </c>
      <c r="C12" s="12" t="str">
        <f aca="false">IF(Requirements!E12="","",Requirements!E12)</f>
        <v>B</v>
      </c>
      <c r="D12" s="5" t="s">
        <v>717</v>
      </c>
      <c r="E12" s="5" t="s">
        <v>718</v>
      </c>
      <c r="F12" s="5" t="s">
        <v>719</v>
      </c>
      <c r="G12" s="19" t="s">
        <v>700</v>
      </c>
      <c r="H12" s="12" t="str">
        <f aca="false">IF(A12="","",IF(F12="","No test","OK"))</f>
        <v>OK</v>
      </c>
      <c r="I12" s="7"/>
    </row>
    <row r="13" customFormat="false" ht="36" hidden="false" customHeight="true" outlineLevel="0" collapsed="false">
      <c r="A13" s="15" t="str">
        <f aca="false">IF(Requirements!A13="","",Requirements!A13)</f>
        <v>FR-B3</v>
      </c>
      <c r="B13" s="6" t="str">
        <f aca="false">IF(Requirements!B13="","",Requirements!B13)</f>
        <v>The system shall let an administrator edit a hub’s district, address and positive integer capacity, and recompute displayed load after a capacity change.</v>
      </c>
      <c r="C13" s="12" t="str">
        <f aca="false">IF(Requirements!E13="","",Requirements!E13)</f>
        <v>B</v>
      </c>
      <c r="D13" s="5" t="s">
        <v>720</v>
      </c>
      <c r="E13" s="5" t="s">
        <v>715</v>
      </c>
      <c r="F13" s="5" t="s">
        <v>721</v>
      </c>
      <c r="G13" s="19" t="s">
        <v>700</v>
      </c>
      <c r="H13" s="12" t="str">
        <f aca="false">IF(A13="","",IF(F13="","No test","OK"))</f>
        <v>OK</v>
      </c>
      <c r="I13" s="7"/>
    </row>
    <row r="14" customFormat="false" ht="24" hidden="false" customHeight="true" outlineLevel="0" collapsed="false">
      <c r="A14" s="15" t="str">
        <f aca="false">IF(Requirements!A14="","",Requirements!A14)</f>
        <v>FR-B4</v>
      </c>
      <c r="B14" s="6" t="str">
        <f aca="false">IF(Requirements!B14="","",Requirements!B14)</f>
        <v>The system shall soft-delete a hub, removing it from ordering while preserving its historical orders and report rows.</v>
      </c>
      <c r="C14" s="12" t="str">
        <f aca="false">IF(Requirements!E14="","",Requirements!E14)</f>
        <v>B</v>
      </c>
      <c r="D14" s="5" t="s">
        <v>705</v>
      </c>
      <c r="E14" s="5" t="s">
        <v>706</v>
      </c>
      <c r="F14" s="5" t="s">
        <v>722</v>
      </c>
      <c r="G14" s="19" t="s">
        <v>700</v>
      </c>
      <c r="H14" s="12" t="str">
        <f aca="false">IF(A14="","",IF(F14="","No test","OK"))</f>
        <v>OK</v>
      </c>
      <c r="I14" s="7"/>
    </row>
    <row r="15" customFormat="false" ht="36" hidden="false" customHeight="true" outlineLevel="0" collapsed="false">
      <c r="A15" s="15" t="str">
        <f aca="false">IF(Requirements!A15="","",Requirements!A15)</f>
        <v>FR-B5</v>
      </c>
      <c r="B15" s="6" t="str">
        <f aca="false">IF(Requirements!B15="","",Requirements!B15)</f>
        <v>The system shall refuse a new order when the chosen hub’s load is 90 % or above and shall ask the customer to choose another hub.</v>
      </c>
      <c r="C15" s="12" t="str">
        <f aca="false">IF(Requirements!E15="","",Requirements!E15)</f>
        <v>B</v>
      </c>
      <c r="D15" s="5" t="s">
        <v>723</v>
      </c>
      <c r="E15" s="5" t="s">
        <v>724</v>
      </c>
      <c r="F15" s="5" t="s">
        <v>725</v>
      </c>
      <c r="G15" s="19" t="s">
        <v>700</v>
      </c>
      <c r="H15" s="12" t="str">
        <f aca="false">IF(A15="","",IF(F15="","No test","OK"))</f>
        <v>OK</v>
      </c>
      <c r="I15" s="7"/>
    </row>
    <row r="16" customFormat="false" ht="36" hidden="false" customHeight="true" outlineLevel="0" collapsed="false">
      <c r="A16" s="15" t="str">
        <f aca="false">IF(Requirements!A16="","",Requirements!A16)</f>
        <v>FR-C1</v>
      </c>
      <c r="B16" s="6" t="str">
        <f aca="false">IF(Requirements!B16="","",Requirements!B16)</f>
        <v>The system shall let an administrator create a voucher with a code, a type (PERCENT or FIXED), a value, a maximum discount, a minimum subtotal, validity dates and an active flag.</v>
      </c>
      <c r="C16" s="12" t="str">
        <f aca="false">IF(Requirements!E16="","",Requirements!E16)</f>
        <v>C</v>
      </c>
      <c r="D16" s="5" t="s">
        <v>726</v>
      </c>
      <c r="E16" s="5" t="s">
        <v>727</v>
      </c>
      <c r="F16" s="5" t="s">
        <v>728</v>
      </c>
      <c r="G16" s="19" t="s">
        <v>700</v>
      </c>
      <c r="H16" s="12" t="str">
        <f aca="false">IF(A16="","",IF(F16="","No test","OK"))</f>
        <v>OK</v>
      </c>
      <c r="I16" s="7"/>
    </row>
    <row r="17" customFormat="false" ht="24" hidden="false" customHeight="true" outlineLevel="0" collapsed="false">
      <c r="A17" s="15" t="str">
        <f aca="false">IF(Requirements!A17="","",Requirements!A17)</f>
        <v>FR-C2</v>
      </c>
      <c r="B17" s="6" t="str">
        <f aca="false">IF(Requirements!B17="","",Requirements!B17)</f>
        <v>The system shall let an administrator view, edit and deactivate vouchers.</v>
      </c>
      <c r="C17" s="12" t="str">
        <f aca="false">IF(Requirements!E17="","",Requirements!E17)</f>
        <v>C</v>
      </c>
      <c r="D17" s="5" t="s">
        <v>729</v>
      </c>
      <c r="E17" s="5" t="s">
        <v>727</v>
      </c>
      <c r="F17" s="5" t="s">
        <v>730</v>
      </c>
      <c r="G17" s="19" t="s">
        <v>700</v>
      </c>
      <c r="H17" s="12" t="str">
        <f aca="false">IF(A17="","",IF(F17="","No test","OK"))</f>
        <v>OK</v>
      </c>
      <c r="I17" s="7"/>
    </row>
    <row r="18" customFormat="false" ht="36" hidden="false" customHeight="true" outlineLevel="0" collapsed="false">
      <c r="A18" s="15" t="str">
        <f aca="false">IF(Requirements!A18="","",Requirements!A18)</f>
        <v>FR-C3</v>
      </c>
      <c r="B18" s="6" t="str">
        <f aca="false">IF(Requirements!B18="","",Requirements!B18)</f>
        <v>The system shall accept at most one active voucher within its validity dates and check its minimum-subtotal condition against S before discounts.</v>
      </c>
      <c r="C18" s="12" t="str">
        <f aca="false">IF(Requirements!E18="","",Requirements!E18)</f>
        <v>C</v>
      </c>
      <c r="D18" s="5" t="s">
        <v>731</v>
      </c>
      <c r="E18" s="5" t="s">
        <v>732</v>
      </c>
      <c r="F18" s="5" t="s">
        <v>733</v>
      </c>
      <c r="G18" s="19" t="s">
        <v>700</v>
      </c>
      <c r="H18" s="12" t="str">
        <f aca="false">IF(A18="","",IF(F18="","No test","OK"))</f>
        <v>OK</v>
      </c>
      <c r="I18" s="7"/>
    </row>
    <row r="19" customFormat="false" ht="24" hidden="false" customHeight="true" outlineLevel="0" collapsed="false">
      <c r="A19" s="15" t="str">
        <f aca="false">IF(Requirements!A19="","",Requirements!A19)</f>
        <v>FR-D1</v>
      </c>
      <c r="B19" s="6" t="str">
        <f aca="false">IF(Requirements!B19="","",Requirements!B19)</f>
        <v>The system shall let a customer build an order from the menus of one hub, with 1 to 30 lines and a quantity of 1 to 20 per line.</v>
      </c>
      <c r="C19" s="12" t="str">
        <f aca="false">IF(Requirements!E19="","",Requirements!E19)</f>
        <v>D</v>
      </c>
      <c r="D19" s="5" t="s">
        <v>734</v>
      </c>
      <c r="E19" s="5" t="s">
        <v>735</v>
      </c>
      <c r="F19" s="5" t="s">
        <v>736</v>
      </c>
      <c r="G19" s="19" t="s">
        <v>700</v>
      </c>
      <c r="H19" s="12" t="str">
        <f aca="false">IF(A19="","",IF(F19="","No test","OK"))</f>
        <v>OK</v>
      </c>
      <c r="I19" s="7"/>
    </row>
    <row r="20" customFormat="false" ht="24" hidden="false" customHeight="true" outlineLevel="0" collapsed="false">
      <c r="A20" s="15" t="str">
        <f aca="false">IF(Requirements!A20="","",Requirements!A20)</f>
        <v>FR-D2</v>
      </c>
      <c r="B20" s="6" t="str">
        <f aca="false">IF(Requirements!B20="","",Requirements!B20)</f>
        <v>The system shall reject an order whose item subtotal is below 50,000.</v>
      </c>
      <c r="C20" s="12" t="str">
        <f aca="false">IF(Requirements!E20="","",Requirements!E20)</f>
        <v>D</v>
      </c>
      <c r="D20" s="5" t="s">
        <v>737</v>
      </c>
      <c r="E20" s="5" t="s">
        <v>738</v>
      </c>
      <c r="F20" s="5" t="s">
        <v>739</v>
      </c>
      <c r="G20" s="19" t="s">
        <v>700</v>
      </c>
      <c r="H20" s="12" t="str">
        <f aca="false">IF(A20="","",IF(F20="","No test","OK"))</f>
        <v>OK</v>
      </c>
      <c r="I20" s="7"/>
    </row>
    <row r="21" customFormat="false" ht="24" hidden="false" customHeight="true" outlineLevel="0" collapsed="false">
      <c r="A21" s="15" t="str">
        <f aca="false">IF(Requirements!A21="","",Requirements!A21)</f>
        <v>FR-D3</v>
      </c>
      <c r="B21" s="6" t="str">
        <f aca="false">IF(Requirements!B21="","",Requirements!B21)</f>
        <v>The system shall reject an order whose delivery distance exceeds 8.0 km.</v>
      </c>
      <c r="C21" s="12" t="str">
        <f aca="false">IF(Requirements!E21="","",Requirements!E21)</f>
        <v>D</v>
      </c>
      <c r="D21" s="5" t="s">
        <v>740</v>
      </c>
      <c r="E21" s="5" t="s">
        <v>738</v>
      </c>
      <c r="F21" s="5" t="s">
        <v>741</v>
      </c>
      <c r="G21" s="19" t="s">
        <v>700</v>
      </c>
      <c r="H21" s="12" t="str">
        <f aca="false">IF(A21="","",IF(F21="","No test","OK"))</f>
        <v>OK</v>
      </c>
      <c r="I21" s="7"/>
    </row>
    <row r="22" customFormat="false" ht="36" hidden="false" customHeight="true" outlineLevel="0" collapsed="false">
      <c r="A22" s="15" t="str">
        <f aca="false">IF(Requirements!A22="","",Requirements!A22)</f>
        <v>FR-D4</v>
      </c>
      <c r="B22" s="6" t="str">
        <f aca="false">IF(Requirements!B22="","",Requirements!B22)</f>
        <v>The system shall charge D = 15,000 for d ≤ 2 km; 15,000 + 5,000 × ceil(d − 2) for 2 &lt; d ≤ 5; and 30,000 + 7,000 × ceil(d − 5) for 5 &lt; d ≤ 8.</v>
      </c>
      <c r="C22" s="12" t="str">
        <f aca="false">IF(Requirements!E22="","",Requirements!E22)</f>
        <v>D</v>
      </c>
      <c r="D22" s="5" t="s">
        <v>742</v>
      </c>
      <c r="E22" s="5" t="s">
        <v>738</v>
      </c>
      <c r="F22" s="5" t="s">
        <v>743</v>
      </c>
      <c r="G22" s="19" t="s">
        <v>700</v>
      </c>
      <c r="H22" s="12" t="str">
        <f aca="false">IF(A22="","",IF(F22="","No test","OK"))</f>
        <v>OK</v>
      </c>
      <c r="I22" s="7"/>
    </row>
    <row r="23" customFormat="false" ht="36" hidden="false" customHeight="true" outlineLevel="0" collapsed="false">
      <c r="A23" s="15" t="str">
        <f aca="false">IF(Requirements!A23="","",Requirements!A23)</f>
        <v>FR-D5</v>
      </c>
      <c r="B23" s="6" t="str">
        <f aca="false">IF(Requirements!B23="","",Requirements!B23)</f>
        <v>The system shall charge R = 20% of non-waived D when placement time in Vietnam (UTC+7) is in [11:00, 13:00) or [17:30, 19:30); otherwise R = 0.</v>
      </c>
      <c r="C23" s="12" t="str">
        <f aca="false">IF(Requirements!E23="","",Requirements!E23)</f>
        <v>D</v>
      </c>
      <c r="D23" s="5" t="s">
        <v>744</v>
      </c>
      <c r="E23" s="5" t="s">
        <v>738</v>
      </c>
      <c r="F23" s="5" t="s">
        <v>745</v>
      </c>
      <c r="G23" s="19" t="s">
        <v>700</v>
      </c>
      <c r="H23" s="12" t="str">
        <f aca="false">IF(A23="","",IF(F23="","No test","OK"))</f>
        <v>OK</v>
      </c>
      <c r="I23" s="7"/>
    </row>
    <row r="24" customFormat="false" ht="36" hidden="false" customHeight="true" outlineLevel="0" collapsed="false">
      <c r="A24" s="15" t="str">
        <f aca="false">IF(Requirements!A24="","",Requirements!A24)</f>
        <v>FR-D6</v>
      </c>
      <c r="B24" s="6" t="str">
        <f aca="false">IF(Requirements!B24="","",Requirements!B24)</f>
        <v>The system shall add a flat 10,000 rain surcharge while the administrator’s heavy-rain flag is on, using the flag value snapshotted on the order.</v>
      </c>
      <c r="C24" s="12" t="str">
        <f aca="false">IF(Requirements!E24="","",Requirements!E24)</f>
        <v>D</v>
      </c>
      <c r="D24" s="5" t="s">
        <v>746</v>
      </c>
      <c r="E24" s="5" t="s">
        <v>738</v>
      </c>
      <c r="F24" s="5" t="s">
        <v>747</v>
      </c>
      <c r="G24" s="19" t="s">
        <v>700</v>
      </c>
      <c r="H24" s="12" t="str">
        <f aca="false">IF(A24="","",IF(F24="","No test","OK"))</f>
        <v>OK</v>
      </c>
      <c r="I24" s="7"/>
    </row>
    <row r="25" customFormat="false" ht="36" hidden="false" customHeight="true" outlineLevel="0" collapsed="false">
      <c r="A25" s="15" t="str">
        <f aca="false">IF(Requirements!A25="","",Requirements!A25)</f>
        <v>FR-D7</v>
      </c>
      <c r="B25" s="6" t="str">
        <f aca="false">IF(Requirements!B25="","",Requirements!B25)</f>
        <v>The system shall waive the delivery fee and the rush surcharge when the item subtotal is 300,000 or more, while the rain surcharge still applies.</v>
      </c>
      <c r="C25" s="12" t="str">
        <f aca="false">IF(Requirements!E25="","",Requirements!E25)</f>
        <v>D</v>
      </c>
      <c r="D25" s="5" t="s">
        <v>748</v>
      </c>
      <c r="E25" s="5" t="s">
        <v>738</v>
      </c>
      <c r="F25" s="5" t="s">
        <v>749</v>
      </c>
      <c r="G25" s="19" t="s">
        <v>700</v>
      </c>
      <c r="H25" s="12" t="str">
        <f aca="false">IF(A25="","",IF(F25="","No test","OK"))</f>
        <v>OK</v>
      </c>
      <c r="I25" s="7"/>
    </row>
    <row r="26" customFormat="false" ht="24" hidden="false" customHeight="true" outlineLevel="0" collapsed="false">
      <c r="A26" s="15" t="str">
        <f aca="false">IF(Requirements!A26="","",Requirements!A26)</f>
        <v>FR-D8</v>
      </c>
      <c r="B26" s="6" t="str">
        <f aca="false">IF(Requirements!B26="","",Requirements!B26)</f>
        <v>The system shall apply a Quiet Kitchen discount of 10 % of the item subtotal when the hub load at placement is below 30 %.</v>
      </c>
      <c r="C26" s="12" t="str">
        <f aca="false">IF(Requirements!E26="","",Requirements!E26)</f>
        <v>D</v>
      </c>
      <c r="D26" s="5" t="s">
        <v>750</v>
      </c>
      <c r="E26" s="5" t="s">
        <v>738</v>
      </c>
      <c r="F26" s="5" t="s">
        <v>751</v>
      </c>
      <c r="G26" s="19" t="s">
        <v>700</v>
      </c>
      <c r="H26" s="12" t="str">
        <f aca="false">IF(A26="","",IF(F26="","No test","OK"))</f>
        <v>OK</v>
      </c>
      <c r="I26" s="7"/>
    </row>
    <row r="27" customFormat="false" ht="36" hidden="false" customHeight="true" outlineLevel="0" collapsed="false">
      <c r="A27" s="15" t="str">
        <f aca="false">IF(Requirements!A27="","",Requirements!A27)</f>
        <v>FR-D9</v>
      </c>
      <c r="B27" s="6" t="str">
        <f aca="false">IF(Requirements!B27="","",Requirements!B27)</f>
        <v>The system shall calculate PERCENT voucher V on S − Q, limited by the voucher cap and S − Q; FIXED V shall not exceed S − Q.</v>
      </c>
      <c r="C27" s="12" t="str">
        <f aca="false">IF(Requirements!E27="","",Requirements!E27)</f>
        <v>D</v>
      </c>
      <c r="D27" s="5" t="s">
        <v>752</v>
      </c>
      <c r="E27" s="5" t="s">
        <v>738</v>
      </c>
      <c r="F27" s="5" t="s">
        <v>753</v>
      </c>
      <c r="G27" s="19" t="s">
        <v>700</v>
      </c>
      <c r="H27" s="12" t="str">
        <f aca="false">IF(A27="","",IF(F27="","No test","OK"))</f>
        <v>OK</v>
      </c>
      <c r="I27" s="7"/>
    </row>
    <row r="28" customFormat="false" ht="48" hidden="false" customHeight="true" outlineLevel="0" collapsed="false">
      <c r="A28" s="15" t="str">
        <f aca="false">IF(Requirements!A28="","",Requirements!A28)</f>
        <v>FR-D10</v>
      </c>
      <c r="B28" s="6" t="str">
        <f aca="false">IF(Requirements!B28="","",Requirements!B28)</f>
        <v>The system shall calculate S, Q, V, F = S − Q − V, D, R, R2 and raw total = F + D + R + R2 in BR10 order, retain fractional values without intermediate rounding or truncation, then round once to the nearest 1,000 VND, half up.</v>
      </c>
      <c r="C28" s="12" t="str">
        <f aca="false">IF(Requirements!E28="","",Requirements!E28)</f>
        <v>D</v>
      </c>
      <c r="D28" s="5" t="s">
        <v>754</v>
      </c>
      <c r="E28" s="5" t="s">
        <v>738</v>
      </c>
      <c r="F28" s="5" t="s">
        <v>755</v>
      </c>
      <c r="G28" s="19" t="s">
        <v>700</v>
      </c>
      <c r="H28" s="12" t="str">
        <f aca="false">IF(A28="","",IF(F28="","No test","OK"))</f>
        <v>OK</v>
      </c>
      <c r="I28" s="7"/>
    </row>
    <row r="29" customFormat="false" ht="36" hidden="false" customHeight="true" outlineLevel="0" collapsed="false">
      <c r="A29" s="15" t="str">
        <f aca="false">IF(Requirements!A29="","",Requirements!A29)</f>
        <v>FR-D11</v>
      </c>
      <c r="B29" s="6" t="str">
        <f aca="false">IF(Requirements!B29="","",Requirements!B29)</f>
        <v>The system shall show an itemised price breakdown — subtotal, Quiet Kitchen discount, voucher, food total, delivery fee, rush surcharge, rain surcharge, rounded total — before payment.</v>
      </c>
      <c r="C29" s="12" t="str">
        <f aca="false">IF(Requirements!E29="","",Requirements!E29)</f>
        <v>D</v>
      </c>
      <c r="D29" s="5" t="s">
        <v>756</v>
      </c>
      <c r="E29" s="5" t="s">
        <v>735</v>
      </c>
      <c r="F29" s="5" t="s">
        <v>757</v>
      </c>
      <c r="G29" s="19" t="s">
        <v>700</v>
      </c>
      <c r="H29" s="12" t="str">
        <f aca="false">IF(A29="","",IF(F29="","No test","OK"))</f>
        <v>OK</v>
      </c>
      <c r="I29" s="7"/>
    </row>
    <row r="30" customFormat="false" ht="36" hidden="false" customHeight="true" outlineLevel="0" collapsed="false">
      <c r="A30" s="15" t="str">
        <f aca="false">IF(Requirements!A30="","",Requirements!A30)</f>
        <v>FR-D12</v>
      </c>
      <c r="B30" s="6" t="str">
        <f aca="false">IF(Requirements!B30="","",Requirements!B30)</f>
        <v>The system shall allow items to be edited only while the order is Placed, and any recalculation shall reuse the stored placement snapshot.</v>
      </c>
      <c r="C30" s="12" t="str">
        <f aca="false">IF(Requirements!E30="","",Requirements!E30)</f>
        <v>D</v>
      </c>
      <c r="D30" s="5" t="s">
        <v>758</v>
      </c>
      <c r="E30" s="5" t="s">
        <v>712</v>
      </c>
      <c r="F30" s="5" t="s">
        <v>759</v>
      </c>
      <c r="G30" s="19" t="s">
        <v>700</v>
      </c>
      <c r="H30" s="12" t="str">
        <f aca="false">IF(A30="","",IF(F30="","No test","OK"))</f>
        <v>OK</v>
      </c>
      <c r="I30" s="7"/>
    </row>
    <row r="31" customFormat="false" ht="48" hidden="false" customHeight="true" outlineLevel="0" collapsed="false">
      <c r="A31" s="15" t="str">
        <f aca="false">IF(Requirements!A31="","",Requirements!A31)</f>
        <v>FR-D13</v>
      </c>
      <c r="B31" s="6" t="str">
        <f aca="false">IF(Requirements!B31="","",Requirements!B31)</f>
        <v>The system shall allow Customer cancellation in Placed or Confirmed, Kitchen Staff rejection in Placed with a reason, and Admin cancellation in Confirmed; online-paid cancellations shall be refunded in full (simulated).</v>
      </c>
      <c r="C31" s="12" t="str">
        <f aca="false">IF(Requirements!E31="","",Requirements!E31)</f>
        <v>D</v>
      </c>
      <c r="D31" s="5" t="s">
        <v>760</v>
      </c>
      <c r="E31" s="5" t="s">
        <v>761</v>
      </c>
      <c r="F31" s="5" t="s">
        <v>762</v>
      </c>
      <c r="G31" s="19" t="s">
        <v>700</v>
      </c>
      <c r="H31" s="12" t="str">
        <f aca="false">IF(A31="","",IF(F31="","No test","OK"))</f>
        <v>OK</v>
      </c>
      <c r="I31" s="7"/>
    </row>
    <row r="32" customFormat="false" ht="24" hidden="false" customHeight="true" outlineLevel="0" collapsed="false">
      <c r="A32" s="15" t="str">
        <f aca="false">IF(Requirements!A32="","",Requirements!A32)</f>
        <v>FR-D14</v>
      </c>
      <c r="B32" s="6" t="str">
        <f aca="false">IF(Requirements!B32="","",Requirements!B32)</f>
        <v>The system shall store a price snapshot of timestamp, hub load and rain flag at placement so that the price stays reproducible.</v>
      </c>
      <c r="C32" s="12" t="str">
        <f aca="false">IF(Requirements!E32="","",Requirements!E32)</f>
        <v>D</v>
      </c>
      <c r="D32" s="5" t="s">
        <v>763</v>
      </c>
      <c r="E32" s="5" t="s">
        <v>764</v>
      </c>
      <c r="F32" s="5" t="s">
        <v>765</v>
      </c>
      <c r="G32" s="19" t="s">
        <v>700</v>
      </c>
      <c r="H32" s="12" t="str">
        <f aca="false">IF(A32="","",IF(F32="","No test","OK"))</f>
        <v>OK</v>
      </c>
      <c r="I32" s="7"/>
    </row>
    <row r="33" customFormat="false" ht="36" hidden="false" customHeight="true" outlineLevel="0" collapsed="false">
      <c r="A33" s="15" t="str">
        <f aca="false">IF(Requirements!A33="","",Requirements!A33)</f>
        <v>FR-E1</v>
      </c>
      <c r="B33" s="6" t="str">
        <f aca="false">IF(Requirements!B33="","",Requirements!B33)</f>
        <v>The system shall register a Local Customer with a Vietnamese mobile number of exactly ten digits starting 03, 05, 07, 08 or 09, and a simulated OTP.</v>
      </c>
      <c r="C33" s="12" t="str">
        <f aca="false">IF(Requirements!E33="","",Requirements!E33)</f>
        <v>E</v>
      </c>
      <c r="D33" s="5" t="s">
        <v>766</v>
      </c>
      <c r="E33" s="5" t="s">
        <v>767</v>
      </c>
      <c r="F33" s="5" t="s">
        <v>768</v>
      </c>
      <c r="G33" s="19" t="s">
        <v>700</v>
      </c>
      <c r="H33" s="12" t="str">
        <f aca="false">IF(A33="","",IF(F33="","No test","OK"))</f>
        <v>OK</v>
      </c>
      <c r="I33" s="7"/>
    </row>
    <row r="34" customFormat="false" ht="36" hidden="false" customHeight="true" outlineLevel="0" collapsed="false">
      <c r="A34" s="15" t="str">
        <f aca="false">IF(Requirements!A34="","",Requirements!A34)</f>
        <v>FR-E2</v>
      </c>
      <c r="B34" s="6" t="str">
        <f aca="false">IF(Requirements!B34="","",Requirements!B34)</f>
        <v>The system shall register a Foreign Tourist with a passport number of 6 to 9 letters or digits, a nationality, a valid email and a simulated email code.</v>
      </c>
      <c r="C34" s="12" t="str">
        <f aca="false">IF(Requirements!E34="","",Requirements!E34)</f>
        <v>E</v>
      </c>
      <c r="D34" s="5" t="s">
        <v>769</v>
      </c>
      <c r="E34" s="5" t="s">
        <v>767</v>
      </c>
      <c r="F34" s="5" t="s">
        <v>770</v>
      </c>
      <c r="G34" s="19" t="s">
        <v>700</v>
      </c>
      <c r="H34" s="12" t="str">
        <f aca="false">IF(A34="","",IF(F34="","No test","OK"))</f>
        <v>OK</v>
      </c>
      <c r="I34" s="7"/>
    </row>
    <row r="35" customFormat="false" ht="24" hidden="false" customHeight="true" outlineLevel="0" collapsed="false">
      <c r="A35" s="15" t="str">
        <f aca="false">IF(Requirements!A35="","",Requirements!A35)</f>
        <v>FR-E3</v>
      </c>
      <c r="B35" s="6" t="str">
        <f aca="false">IF(Requirements!B35="","",Requirements!B35)</f>
        <v>The system shall enforce a unique identifier and a password of at least eight characters stored as a hash.</v>
      </c>
      <c r="C35" s="12" t="str">
        <f aca="false">IF(Requirements!E35="","",Requirements!E35)</f>
        <v>E</v>
      </c>
      <c r="D35" s="5" t="s">
        <v>771</v>
      </c>
      <c r="E35" s="5" t="s">
        <v>772</v>
      </c>
      <c r="F35" s="5" t="s">
        <v>773</v>
      </c>
      <c r="G35" s="19" t="s">
        <v>700</v>
      </c>
      <c r="H35" s="12" t="str">
        <f aca="false">IF(A35="","",IF(F35="","No test","OK"))</f>
        <v>OK</v>
      </c>
      <c r="I35" s="7"/>
    </row>
    <row r="36" customFormat="false" ht="36" hidden="false" customHeight="true" outlineLevel="0" collapsed="false">
      <c r="A36" s="15" t="str">
        <f aca="false">IF(Requirements!A36="","",Requirements!A36)</f>
        <v>FR-E4</v>
      </c>
      <c r="B36" s="6" t="str">
        <f aca="false">IF(Requirements!B36="","",Requirements!B36)</f>
        <v>The system shall store both customer types in one schema using a discriminator, and let an administrator view, edit and deactivate accounts.</v>
      </c>
      <c r="C36" s="12" t="str">
        <f aca="false">IF(Requirements!E36="","",Requirements!E36)</f>
        <v>E</v>
      </c>
      <c r="D36" s="5" t="s">
        <v>774</v>
      </c>
      <c r="E36" s="5" t="s">
        <v>775</v>
      </c>
      <c r="F36" s="5" t="s">
        <v>776</v>
      </c>
      <c r="G36" s="19" t="s">
        <v>700</v>
      </c>
      <c r="H36" s="12" t="str">
        <f aca="false">IF(A36="","",IF(F36="","No test","OK"))</f>
        <v>OK</v>
      </c>
      <c r="I36" s="7"/>
    </row>
    <row r="37" customFormat="false" ht="36" hidden="false" customHeight="true" outlineLevel="0" collapsed="false">
      <c r="A37" s="15" t="str">
        <f aca="false">IF(Requirements!A37="","",Requirements!A37)</f>
        <v>FR-F1</v>
      </c>
      <c r="B37" s="6" t="str">
        <f aca="false">IF(Requirements!B37="","",Requirements!B37)</f>
        <v>The system shall let an administrator assign an available shipper to a Ready order and record the shipper and assignment time (assumption A1).</v>
      </c>
      <c r="C37" s="12" t="str">
        <f aca="false">IF(Requirements!E37="","",Requirements!E37)</f>
        <v>F</v>
      </c>
      <c r="D37" s="5" t="s">
        <v>777</v>
      </c>
      <c r="E37" s="5" t="s">
        <v>778</v>
      </c>
      <c r="F37" s="5" t="s">
        <v>779</v>
      </c>
      <c r="G37" s="19" t="s">
        <v>700</v>
      </c>
      <c r="H37" s="12" t="str">
        <f aca="false">IF(A37="","",IF(F37="","No test","OK"))</f>
        <v>OK</v>
      </c>
      <c r="I37" s="7"/>
    </row>
    <row r="38" customFormat="false" ht="48" hidden="false" customHeight="true" outlineLevel="0" collapsed="false">
      <c r="A38" s="15" t="str">
        <f aca="false">IF(Requirements!A38="","",Requirements!A38)</f>
        <v>FR-F2</v>
      </c>
      <c r="B38" s="6" t="str">
        <f aca="false">IF(Requirements!B38="","",Requirements!B38)</f>
        <v>The system shall enforce all eight transitions and actor/condition constraints in Specification section 2C in the business layer and reject every other transition; Delivered, Cancelled and Failed are terminal.</v>
      </c>
      <c r="C38" s="12" t="str">
        <f aca="false">IF(Requirements!E38="","",Requirements!E38)</f>
        <v>F</v>
      </c>
      <c r="D38" s="5" t="s">
        <v>780</v>
      </c>
      <c r="E38" s="5" t="s">
        <v>761</v>
      </c>
      <c r="F38" s="5" t="s">
        <v>781</v>
      </c>
      <c r="G38" s="19" t="s">
        <v>700</v>
      </c>
      <c r="H38" s="12" t="str">
        <f aca="false">IF(A38="","",IF(F38="","No test","OK"))</f>
        <v>OK</v>
      </c>
      <c r="I38" s="7"/>
    </row>
    <row r="39" customFormat="false" ht="24" hidden="false" customHeight="true" outlineLevel="0" collapsed="false">
      <c r="A39" s="15" t="str">
        <f aca="false">IF(Requirements!A39="","",Requirements!A39)</f>
        <v>FR-F3</v>
      </c>
      <c r="B39" s="6" t="str">
        <f aca="false">IF(Requirements!B39="","",Requirements!B39)</f>
        <v>The system shall require a shipper to confirm cash collected before a COD order may become Delivered.</v>
      </c>
      <c r="C39" s="12" t="str">
        <f aca="false">IF(Requirements!E39="","",Requirements!E39)</f>
        <v>F</v>
      </c>
      <c r="D39" s="5" t="s">
        <v>782</v>
      </c>
      <c r="E39" s="5" t="s">
        <v>783</v>
      </c>
      <c r="F39" s="5" t="s">
        <v>784</v>
      </c>
      <c r="G39" s="19" t="s">
        <v>700</v>
      </c>
      <c r="H39" s="12" t="str">
        <f aca="false">IF(A39="","",IF(F39="","No test","OK"))</f>
        <v>OK</v>
      </c>
      <c r="I39" s="7"/>
    </row>
    <row r="40" customFormat="false" ht="36" hidden="false" customHeight="true" outlineLevel="0" collapsed="false">
      <c r="A40" s="15" t="str">
        <f aca="false">IF(Requirements!A40="","",Requirements!A40)</f>
        <v>FR-F4</v>
      </c>
      <c r="B40" s="6" t="str">
        <f aca="false">IF(Requirements!B40="","",Requirements!B40)</f>
        <v>The system shall let the assigned shipper move Out for Delivery to terminal Failed when the customer is unreachable, recording a reason; financial settlement follows assumption A2.</v>
      </c>
      <c r="C40" s="12" t="str">
        <f aca="false">IF(Requirements!E40="","",Requirements!E40)</f>
        <v>F</v>
      </c>
      <c r="D40" s="5" t="s">
        <v>785</v>
      </c>
      <c r="E40" s="5" t="s">
        <v>783</v>
      </c>
      <c r="F40" s="5" t="s">
        <v>786</v>
      </c>
      <c r="G40" s="19" t="s">
        <v>700</v>
      </c>
      <c r="H40" s="12" t="str">
        <f aca="false">IF(A40="","",IF(F40="","No test","OK"))</f>
        <v>OK</v>
      </c>
      <c r="I40" s="7"/>
    </row>
    <row r="41" customFormat="false" ht="36" hidden="false" customHeight="true" outlineLevel="0" collapsed="false">
      <c r="A41" s="15" t="str">
        <f aca="false">IF(Requirements!A41="","",Requirements!A41)</f>
        <v>FR-P1</v>
      </c>
      <c r="B41" s="6" t="str">
        <f aca="false">IF(Requirements!B41="","",Requirements!B41)</f>
        <v>The system shall offer only the payment methods that belong to the customer’s actor group: MoMo, VNPay and cash for Local Customers; Apple Pay, PayPal and cash for Foreign Tourists.</v>
      </c>
      <c r="C41" s="12" t="str">
        <f aca="false">IF(Requirements!E41="","",Requirements!E41)</f>
        <v>D</v>
      </c>
      <c r="D41" s="5" t="s">
        <v>787</v>
      </c>
      <c r="E41" s="5" t="s">
        <v>788</v>
      </c>
      <c r="F41" s="5" t="s">
        <v>789</v>
      </c>
      <c r="G41" s="19" t="s">
        <v>700</v>
      </c>
      <c r="H41" s="12" t="str">
        <f aca="false">IF(A41="","",IF(F41="","No test","OK"))</f>
        <v>OK</v>
      </c>
      <c r="I41" s="7"/>
    </row>
    <row r="42" customFormat="false" ht="24" hidden="false" customHeight="true" outlineLevel="0" collapsed="false">
      <c r="A42" s="15" t="str">
        <f aca="false">IF(Requirements!A42="","",Requirements!A42)</f>
        <v>FR-P2</v>
      </c>
      <c r="B42" s="6" t="str">
        <f aca="false">IF(Requirements!B42="","",Requirements!B42)</f>
        <v>The system shall refuse Cash on Delivery when the rounded total exceeds 1,000,000.</v>
      </c>
      <c r="C42" s="12" t="str">
        <f aca="false">IF(Requirements!E42="","",Requirements!E42)</f>
        <v>D</v>
      </c>
      <c r="D42" s="5" t="s">
        <v>790</v>
      </c>
      <c r="E42" s="5" t="s">
        <v>791</v>
      </c>
      <c r="F42" s="5" t="s">
        <v>792</v>
      </c>
      <c r="G42" s="19" t="s">
        <v>700</v>
      </c>
      <c r="H42" s="12" t="str">
        <f aca="false">IF(A42="","",IF(F42="","No test","OK"))</f>
        <v>OK</v>
      </c>
      <c r="I42" s="7"/>
    </row>
    <row r="43" customFormat="false" ht="36" hidden="false" customHeight="true" outlineLevel="0" collapsed="false">
      <c r="A43" s="15" t="str">
        <f aca="false">IF(Requirements!A43="","",Requirements!A43)</f>
        <v>FR-P3</v>
      </c>
      <c r="B43" s="6" t="str">
        <f aca="false">IF(Requirements!B43="","",Requirements!B43)</f>
        <v>The system shall record each payment attempt with order, selected method, timestamp and success/failure outcome; only an actor-permitted Strategy may be selected.</v>
      </c>
      <c r="C43" s="12" t="str">
        <f aca="false">IF(Requirements!E43="","",Requirements!E43)</f>
        <v>D</v>
      </c>
      <c r="D43" s="5" t="s">
        <v>793</v>
      </c>
      <c r="E43" s="5" t="s">
        <v>794</v>
      </c>
      <c r="F43" s="5" t="s">
        <v>795</v>
      </c>
      <c r="G43" s="19" t="s">
        <v>700</v>
      </c>
      <c r="H43" s="12" t="str">
        <f aca="false">IF(A43="","",IF(F43="","No test","OK"))</f>
        <v>OK</v>
      </c>
      <c r="I43" s="7"/>
    </row>
    <row r="44" customFormat="false" ht="48" hidden="false" customHeight="true" outlineLevel="0" collapsed="false">
      <c r="A44" s="15" t="str">
        <f aca="false">IF(Requirements!A44="","",Requirements!A44)</f>
        <v>FR-P4</v>
      </c>
      <c r="B44" s="6" t="str">
        <f aca="false">IF(Requirements!B44="","",Requirements!B44)</f>
        <v>The system shall integrate the live VNPay sandbox API for eligible Local Customer orders, authenticate callbacks and validate the order and amount before recording success, and process repeated callbacks idempotently.</v>
      </c>
      <c r="C44" s="12" t="str">
        <f aca="false">IF(Requirements!E44="","",Requirements!E44)</f>
        <v>D</v>
      </c>
      <c r="D44" s="5" t="s">
        <v>796</v>
      </c>
      <c r="E44" s="5" t="s">
        <v>797</v>
      </c>
      <c r="F44" s="5" t="s">
        <v>798</v>
      </c>
      <c r="G44" s="19" t="s">
        <v>700</v>
      </c>
      <c r="H44" s="12" t="str">
        <f aca="false">IF(A44="","",IF(F44="","No test","OK"))</f>
        <v>OK</v>
      </c>
      <c r="I44" s="7"/>
    </row>
    <row r="45" customFormat="false" ht="36" hidden="false" customHeight="true" outlineLevel="0" collapsed="false">
      <c r="A45" s="15" t="str">
        <f aca="false">IF(Requirements!A45="","",Requirements!A45)</f>
        <v>FR-R1</v>
      </c>
      <c r="B45" s="6" t="str">
        <f aca="false">IF(Requirements!B45="","",Requirements!B45)</f>
        <v>The system shall produce a Revenue report for a chosen date range showing total revenue by brand category and by payment method, excluding Cancelled and Failed orders.</v>
      </c>
      <c r="C45" s="12" t="str">
        <f aca="false">IF(Requirements!E45="","",Requirements!E45)</f>
        <v>A</v>
      </c>
      <c r="D45" s="5" t="s">
        <v>799</v>
      </c>
      <c r="E45" s="5" t="s">
        <v>800</v>
      </c>
      <c r="F45" s="5" t="s">
        <v>801</v>
      </c>
      <c r="G45" s="19" t="s">
        <v>700</v>
      </c>
      <c r="H45" s="12" t="str">
        <f aca="false">IF(A45="","",IF(F45="","No test","OK"))</f>
        <v>OK</v>
      </c>
      <c r="I45" s="7"/>
    </row>
    <row r="46" customFormat="false" ht="48" hidden="false" customHeight="true" outlineLevel="0" collapsed="false">
      <c r="A46" s="15" t="str">
        <f aca="false">IF(Requirements!A46="","",Requirements!A46)</f>
        <v>FR-R2</v>
      </c>
      <c r="B46" s="6" t="str">
        <f aca="false">IF(Requirements!B46="","",Requirements!B46)</f>
        <v>The system shall produce a Hub Utilization report showing, per hub, orders handled, average preparation time from Confirmed to Ready, current load percentage and the number of Quiet Kitchen discounts granted.</v>
      </c>
      <c r="C46" s="12" t="str">
        <f aca="false">IF(Requirements!E46="","",Requirements!E46)</f>
        <v>B</v>
      </c>
      <c r="D46" s="5" t="s">
        <v>802</v>
      </c>
      <c r="E46" s="5" t="s">
        <v>800</v>
      </c>
      <c r="F46" s="5" t="s">
        <v>803</v>
      </c>
      <c r="G46" s="19" t="s">
        <v>700</v>
      </c>
      <c r="H46" s="12" t="str">
        <f aca="false">IF(A46="","",IF(F46="","No test","OK"))</f>
        <v>OK</v>
      </c>
      <c r="I46" s="7"/>
    </row>
    <row r="47" customFormat="false" ht="36" hidden="false" customHeight="true" outlineLevel="0" collapsed="false">
      <c r="A47" s="15" t="str">
        <f aca="false">IF(Requirements!A47="","",Requirements!A47)</f>
        <v>FR-S1</v>
      </c>
      <c r="B47" s="6" t="str">
        <f aca="false">IF(Requirements!B47="","",Requirements!B47)</f>
        <v>The system shall let any user switch the interface between English and Vietnamese, and the choice shall persist for the session.</v>
      </c>
      <c r="C47" s="12" t="str">
        <f aca="false">IF(Requirements!E47="","",Requirements!E47)</f>
        <v>E</v>
      </c>
      <c r="D47" s="5" t="s">
        <v>804</v>
      </c>
      <c r="E47" s="5" t="s">
        <v>805</v>
      </c>
      <c r="F47" s="5" t="s">
        <v>806</v>
      </c>
      <c r="G47" s="19" t="s">
        <v>700</v>
      </c>
      <c r="H47" s="12" t="str">
        <f aca="false">IF(A47="","",IF(F47="","No test","OK"))</f>
        <v>OK</v>
      </c>
      <c r="I47" s="7"/>
    </row>
    <row r="48" customFormat="false" ht="24" hidden="false" customHeight="true" outlineLevel="0" collapsed="false">
      <c r="A48" s="15" t="str">
        <f aca="false">IF(Requirements!A48="","",Requirements!A48)</f>
        <v>FR-S2</v>
      </c>
      <c r="B48" s="6" t="str">
        <f aca="false">IF(Requirements!B48="","",Requirements!B48)</f>
        <v>The system shall restrict each role to its own functions on the server, not only in the interface.</v>
      </c>
      <c r="C48" s="12" t="str">
        <f aca="false">IF(Requirements!E48="","",Requirements!E48)</f>
        <v>E</v>
      </c>
      <c r="D48" s="5" t="s">
        <v>807</v>
      </c>
      <c r="E48" s="5" t="s">
        <v>808</v>
      </c>
      <c r="F48" s="5" t="s">
        <v>809</v>
      </c>
      <c r="G48" s="19" t="s">
        <v>700</v>
      </c>
      <c r="H48" s="12" t="str">
        <f aca="false">IF(A48="","",IF(F48="","No test","OK"))</f>
        <v>OK</v>
      </c>
      <c r="I48" s="7"/>
    </row>
    <row r="49" customFormat="false" ht="48" hidden="false" customHeight="true" outlineLevel="0" collapsed="false">
      <c r="A49" s="15" t="str">
        <f aca="false">IF(Requirements!A49="","",Requirements!A49)</f>
        <v>FR-S3</v>
      </c>
      <c r="B49" s="6" t="str">
        <f aca="false">IF(Requirements!B49="","",Requirements!B49)</f>
        <v>The system shall provide an interactive administrator dashboard for R1 and R2 with revenue date-range and hub-selection controls that refresh the respective charts and tables from the same authorised report data.</v>
      </c>
      <c r="C49" s="12" t="str">
        <f aca="false">IF(Requirements!E49="","",Requirements!E49)</f>
        <v>A/B</v>
      </c>
      <c r="D49" s="5" t="s">
        <v>810</v>
      </c>
      <c r="E49" s="5" t="s">
        <v>811</v>
      </c>
      <c r="F49" s="5" t="s">
        <v>812</v>
      </c>
      <c r="G49" s="19" t="s">
        <v>700</v>
      </c>
      <c r="H49" s="12" t="str">
        <f aca="false">IF(A49="","",IF(F49="","No test","OK"))</f>
        <v>OK</v>
      </c>
      <c r="I49" s="7"/>
    </row>
    <row r="50" customFormat="false" ht="24" hidden="false" customHeight="true" outlineLevel="0" collapsed="false">
      <c r="A50" s="15" t="str">
        <f aca="false">IF(Requirements!A50="","",Requirements!A50)</f>
        <v>FR-S4</v>
      </c>
      <c r="B50" s="6" t="str">
        <f aca="false">IF(Requirements!B50="","",Requirements!B50)</f>
        <v>The system shall let an administrator toggle the heavy-rain flag that the rain surcharge depends on.</v>
      </c>
      <c r="C50" s="12" t="str">
        <f aca="false">IF(Requirements!E50="","",Requirements!E50)</f>
        <v>D</v>
      </c>
      <c r="D50" s="5" t="s">
        <v>813</v>
      </c>
      <c r="E50" s="5" t="s">
        <v>811</v>
      </c>
      <c r="F50" s="5" t="s">
        <v>814</v>
      </c>
      <c r="G50" s="19" t="s">
        <v>700</v>
      </c>
      <c r="H50" s="12" t="str">
        <f aca="false">IF(A50="","",IF(F50="","No test","OK"))</f>
        <v>OK</v>
      </c>
      <c r="I50" s="7"/>
    </row>
    <row r="51" customFormat="false" ht="48" hidden="false" customHeight="true" outlineLevel="0" collapsed="false">
      <c r="A51" s="15" t="str">
        <f aca="false">IF(Requirements!A51="","",Requirements!A51)</f>
        <v>FR-S5</v>
      </c>
      <c r="B51" s="6" t="str">
        <f aca="false">IF(Requirements!B51="","",Requirements!B51)</f>
        <v>The system shall append an audit record for each status change (actor, timestamp, old/new state) and payment attempt (actor, timestamp, method, outcome), without an application-level edit/delete operation.</v>
      </c>
      <c r="C51" s="12" t="str">
        <f aca="false">IF(Requirements!E51="","",Requirements!E51)</f>
        <v>D</v>
      </c>
      <c r="D51" s="5" t="s">
        <v>815</v>
      </c>
      <c r="E51" s="5" t="s">
        <v>816</v>
      </c>
      <c r="F51" s="5" t="s">
        <v>817</v>
      </c>
      <c r="G51" s="19" t="s">
        <v>700</v>
      </c>
      <c r="H51" s="12" t="str">
        <f aca="false">IF(A51="","",IF(F51="","No test","OK"))</f>
        <v>OK</v>
      </c>
      <c r="I51" s="7"/>
    </row>
    <row r="52" customFormat="false" ht="24" hidden="false" customHeight="true" outlineLevel="0" collapsed="false">
      <c r="A52" s="15" t="str">
        <f aca="false">IF(Requirements!A52="","",Requirements!A52)</f>
        <v>NFR1</v>
      </c>
      <c r="B52" s="6" t="str">
        <f aca="false">IF(Requirements!B52="","",Requirements!B52)</f>
        <v>Performance: Price calculation for a valid order of 30 lines completes in under 1.5 seconds server-side.</v>
      </c>
      <c r="C52" s="12" t="str">
        <f aca="false">IF(Requirements!E52="","",Requirements!E52)</f>
        <v>D</v>
      </c>
      <c r="D52" s="5" t="s">
        <v>818</v>
      </c>
      <c r="E52" s="5" t="s">
        <v>818</v>
      </c>
      <c r="F52" s="5" t="s">
        <v>819</v>
      </c>
      <c r="G52" s="19" t="s">
        <v>700</v>
      </c>
      <c r="H52" s="12" t="str">
        <f aca="false">IF(A52="","",IF(F52="","No test","OK"))</f>
        <v>OK</v>
      </c>
      <c r="I52" s="7"/>
    </row>
    <row r="53" customFormat="false" ht="36" hidden="false" customHeight="true" outlineLevel="0" collapsed="false">
      <c r="A53" s="15" t="str">
        <f aca="false">IF(Requirements!A53="","",Requirements!A53)</f>
        <v>NFR2</v>
      </c>
      <c r="B53" s="6" t="str">
        <f aca="false">IF(Requirements!B53="","",Requirements!B53)</f>
        <v>Maintainability: Use MVC separation. Adding a payment method requires one new Strategy class and one registration, with zero edits to existing payment classes.</v>
      </c>
      <c r="C53" s="12" t="str">
        <f aca="false">IF(Requirements!E53="","",Requirements!E53)</f>
        <v>D</v>
      </c>
      <c r="D53" s="5" t="s">
        <v>820</v>
      </c>
      <c r="E53" s="5" t="s">
        <v>820</v>
      </c>
      <c r="F53" s="5" t="s">
        <v>821</v>
      </c>
      <c r="G53" s="19" t="s">
        <v>700</v>
      </c>
      <c r="H53" s="12" t="str">
        <f aca="false">IF(A53="","",IF(F53="","No test","OK"))</f>
        <v>OK</v>
      </c>
      <c r="I53" s="7"/>
    </row>
    <row r="54" customFormat="false" ht="36" hidden="false" customHeight="true" outlineLevel="0" collapsed="false">
      <c r="A54" s="15" t="str">
        <f aca="false">IF(Requirements!A54="","",Requirements!A54)</f>
        <v>NFR3</v>
      </c>
      <c r="B54" s="6" t="str">
        <f aca="false">IF(Requirements!B54="","",Requirements!B54)</f>
        <v>Usability: All required screens support English/Vietnamese and operate without horizontal page scrolling at 390, 768 and 1440 px; culture switching preserves the cart and session.</v>
      </c>
      <c r="C54" s="12" t="str">
        <f aca="false">IF(Requirements!E54="","",Requirements!E54)</f>
        <v>E</v>
      </c>
      <c r="D54" s="5" t="s">
        <v>822</v>
      </c>
      <c r="E54" s="5" t="s">
        <v>822</v>
      </c>
      <c r="F54" s="5" t="s">
        <v>823</v>
      </c>
      <c r="G54" s="19" t="s">
        <v>700</v>
      </c>
      <c r="H54" s="12" t="str">
        <f aca="false">IF(A54="","",IF(F54="","No test","OK"))</f>
        <v>OK</v>
      </c>
      <c r="I54" s="7"/>
    </row>
    <row r="55" customFormat="false" ht="36" hidden="false" customHeight="true" outlineLevel="0" collapsed="false">
      <c r="A55" s="15" t="str">
        <f aca="false">IF(Requirements!A55="","",Requirements!A55)</f>
        <v>NFR4</v>
      </c>
      <c r="B55" s="6" t="str">
        <f aca="false">IF(Requirements!B55="","",Requirements!B55)</f>
        <v>Security: Passwords are hashed, never stored as plaintext; every role is refused every server action outside its authorised role and resource scope.</v>
      </c>
      <c r="C55" s="12" t="str">
        <f aca="false">IF(Requirements!E55="","",Requirements!E55)</f>
        <v>E</v>
      </c>
      <c r="D55" s="5" t="s">
        <v>824</v>
      </c>
      <c r="E55" s="5" t="s">
        <v>824</v>
      </c>
      <c r="F55" s="5" t="s">
        <v>825</v>
      </c>
      <c r="G55" s="19" t="s">
        <v>700</v>
      </c>
      <c r="H55" s="12" t="str">
        <f aca="false">IF(A55="","",IF(F55="","No test","OK"))</f>
        <v>OK</v>
      </c>
      <c r="I55" s="7"/>
    </row>
    <row r="56" customFormat="false" ht="60" hidden="false" customHeight="true" outlineLevel="0" collapsed="false">
      <c r="A56" s="15" t="str">
        <f aca="false">IF(Requirements!A56="","",Requirements!A56)</f>
        <v>NFR5</v>
      </c>
      <c r="B56" s="6" t="str">
        <f aca="false">IF(Requirements!B56="","",Requirements!B56)</f>
        <v>Auditability: 100% of accepted status changes and payment attempts append a record with actor and timestamp; status changes include old/new state, payment attempts include method/outcome. No application update/delete endpoint is provided.</v>
      </c>
      <c r="C56" s="12" t="str">
        <f aca="false">IF(Requirements!E56="","",Requirements!E56)</f>
        <v>D/F</v>
      </c>
      <c r="D56" s="5" t="s">
        <v>826</v>
      </c>
      <c r="E56" s="5" t="s">
        <v>826</v>
      </c>
      <c r="F56" s="5" t="s">
        <v>827</v>
      </c>
      <c r="G56" s="19" t="s">
        <v>700</v>
      </c>
      <c r="H56" s="12" t="str">
        <f aca="false">IF(A56="","",IF(F56="","No test","OK"))</f>
        <v>OK</v>
      </c>
      <c r="I56" s="7"/>
    </row>
    <row r="57" customFormat="false" ht="36" hidden="false" customHeight="true" outlineLevel="0" collapsed="false">
      <c r="A57" s="15" t="str">
        <f aca="false">IF(Requirements!A57="","",Requirements!A57)</f>
        <v>NFR6</v>
      </c>
      <c r="B57" s="6" t="str">
        <f aca="false">IF(Requirements!B57="","",Requirements!B57)</f>
        <v>Reliability: Zero forbidden transitions are accepted; repeated pricing with identical lines and the stored placement snapshot returns identical components and rounded total.</v>
      </c>
      <c r="C57" s="12" t="str">
        <f aca="false">IF(Requirements!E57="","",Requirements!E57)</f>
        <v>D/F</v>
      </c>
      <c r="D57" s="5" t="s">
        <v>828</v>
      </c>
      <c r="E57" s="5" t="s">
        <v>828</v>
      </c>
      <c r="F57" s="5" t="s">
        <v>829</v>
      </c>
      <c r="G57" s="19" t="s">
        <v>700</v>
      </c>
      <c r="H57" s="12" t="str">
        <f aca="false">IF(A57="","",IF(F57="","No test","OK"))</f>
        <v>OK</v>
      </c>
      <c r="I57" s="7"/>
    </row>
    <row r="59" customFormat="false" ht="15" hidden="false" customHeight="false" outlineLevel="0" collapsed="false">
      <c r="B59" s="10" t="s">
        <v>830</v>
      </c>
      <c r="C59" s="12" t="n">
        <f aca="false">COUNTIF(G5:G57,"Pass")</f>
        <v>0</v>
      </c>
    </row>
    <row r="60" customFormat="false" ht="15" hidden="false" customHeight="false" outlineLevel="0" collapsed="false">
      <c r="B60" s="10" t="s">
        <v>831</v>
      </c>
      <c r="C60" s="12" t="n">
        <f aca="false">COUNTIF(H5:H57,"No test")</f>
        <v>0</v>
      </c>
    </row>
  </sheetData>
  <conditionalFormatting sqref="H5:H49">
    <cfRule type="expression" priority="2" aboveAverage="0" equalAverage="0" bottom="0" percent="0" rank="0" text="" dxfId="12">
      <formula>H5="No test"</formula>
    </cfRule>
  </conditionalFormatting>
  <conditionalFormatting sqref="H50:H57">
    <cfRule type="expression" priority="3" aboveAverage="0" equalAverage="0" bottom="0" percent="0" rank="0" text="" dxfId="13">
      <formula>H50="No test"</formula>
    </cfRule>
  </conditionalFormatting>
  <dataValidations count="2">
    <dataValidation allowBlank="true" errorStyle="stop" operator="between" showDropDown="false" showErrorMessage="false" showInputMessage="false" sqref="G5:G49" type="list">
      <formula1>"Pass,Fail,Not tested"</formula1>
      <formula2>0</formula2>
    </dataValidation>
    <dataValidation allowBlank="false" errorStyle="stop" operator="between" showDropDown="false" showErrorMessage="false" showInputMessage="false" sqref="G50:G57" type="list">
      <formula1>"Pass,Fail,Not 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4" min="3" style="0" width="18"/>
    <col collapsed="false" customWidth="true" hidden="false" outlineLevel="0" max="6" min="5" style="0" width="30"/>
  </cols>
  <sheetData>
    <row r="1" customFormat="false" ht="18.55" hidden="false" customHeight="false" outlineLevel="0" collapsed="false">
      <c r="A1" s="1" t="s">
        <v>832</v>
      </c>
    </row>
    <row r="2" customFormat="false" ht="15" hidden="false" customHeight="false" outlineLevel="0" collapsed="false">
      <c r="A2" s="2" t="s">
        <v>833</v>
      </c>
    </row>
    <row r="3" customFormat="false" ht="15" hidden="false" customHeight="false" outlineLevel="0" collapsed="false">
      <c r="A3" s="3" t="s">
        <v>834</v>
      </c>
    </row>
    <row r="4" customFormat="false" ht="15" hidden="false" customHeight="false" outlineLevel="0" collapsed="false">
      <c r="A4" s="8" t="s">
        <v>835</v>
      </c>
      <c r="B4" s="13" t="s">
        <v>836</v>
      </c>
    </row>
    <row r="5" customFormat="false" ht="33.75" hidden="false" customHeight="true" outlineLevel="0" collapsed="false">
      <c r="A5" s="10" t="s">
        <v>837</v>
      </c>
      <c r="B5" s="5"/>
      <c r="C5" s="5"/>
      <c r="D5" s="5"/>
    </row>
    <row r="6" customFormat="false" ht="33.75" hidden="false" customHeight="true" outlineLevel="0" collapsed="false">
      <c r="A6" s="10" t="s">
        <v>838</v>
      </c>
      <c r="B6" s="5"/>
      <c r="C6" s="5"/>
      <c r="D6" s="5"/>
    </row>
    <row r="7" customFormat="false" ht="33.75" hidden="false" customHeight="true" outlineLevel="0" collapsed="false">
      <c r="A7" s="10" t="s">
        <v>839</v>
      </c>
      <c r="B7" s="5"/>
      <c r="C7" s="5"/>
      <c r="D7" s="5"/>
    </row>
    <row r="8" customFormat="false" ht="33.75" hidden="false" customHeight="true" outlineLevel="0" collapsed="false">
      <c r="A8" s="10" t="s">
        <v>840</v>
      </c>
      <c r="B8" s="5"/>
      <c r="C8" s="5"/>
      <c r="D8" s="5"/>
    </row>
    <row r="9" customFormat="false" ht="33.75" hidden="false" customHeight="true" outlineLevel="0" collapsed="false">
      <c r="A9" s="10" t="s">
        <v>841</v>
      </c>
      <c r="B9" s="5"/>
      <c r="C9" s="5"/>
      <c r="D9" s="5"/>
    </row>
    <row r="10" customFormat="false" ht="33.75" hidden="false" customHeight="true" outlineLevel="0" collapsed="false">
      <c r="A10" s="10" t="s">
        <v>842</v>
      </c>
      <c r="B10" s="5"/>
      <c r="C10" s="5"/>
      <c r="D10" s="5"/>
    </row>
    <row r="11" customFormat="false" ht="33.75" hidden="false" customHeight="true" outlineLevel="0" collapsed="false">
      <c r="A11" s="10" t="s">
        <v>843</v>
      </c>
      <c r="B11" s="5"/>
      <c r="C11" s="5"/>
      <c r="D11" s="5"/>
    </row>
    <row r="13" customFormat="false" ht="15" hidden="false" customHeight="false" outlineLevel="0" collapsed="false">
      <c r="A13" s="3" t="s">
        <v>844</v>
      </c>
    </row>
    <row r="14" customFormat="false" ht="33.75" hidden="false" customHeight="true" outlineLevel="0" collapsed="false">
      <c r="A14" s="13" t="s">
        <v>845</v>
      </c>
      <c r="B14" s="13" t="s">
        <v>846</v>
      </c>
      <c r="C14" s="13" t="s">
        <v>847</v>
      </c>
      <c r="D14" s="13" t="s">
        <v>848</v>
      </c>
      <c r="E14" s="13" t="s">
        <v>849</v>
      </c>
      <c r="F14" s="14" t="s">
        <v>99</v>
      </c>
    </row>
    <row r="15" customFormat="false" ht="27.75" hidden="false" customHeight="true" outlineLevel="0" collapsed="false">
      <c r="A15" s="5"/>
      <c r="B15" s="5"/>
      <c r="C15" s="5"/>
      <c r="D15" s="5"/>
      <c r="E15" s="5"/>
      <c r="F15" s="7"/>
    </row>
    <row r="16" customFormat="false" ht="27.75" hidden="false" customHeight="true" outlineLevel="0" collapsed="false">
      <c r="A16" s="5"/>
      <c r="B16" s="5"/>
      <c r="C16" s="5"/>
      <c r="D16" s="5"/>
      <c r="E16" s="5"/>
      <c r="F16" s="7"/>
    </row>
    <row r="17" customFormat="false" ht="27.75" hidden="false" customHeight="true" outlineLevel="0" collapsed="false">
      <c r="A17" s="5"/>
      <c r="B17" s="5"/>
      <c r="C17" s="5"/>
      <c r="D17" s="5"/>
      <c r="E17" s="5"/>
      <c r="F17" s="7"/>
    </row>
    <row r="18" customFormat="false" ht="27.75" hidden="false" customHeight="true" outlineLevel="0" collapsed="false">
      <c r="A18" s="5"/>
      <c r="B18" s="5"/>
      <c r="C18" s="5"/>
      <c r="D18" s="5"/>
      <c r="E18" s="5"/>
      <c r="F18" s="7"/>
    </row>
    <row r="19" customFormat="false" ht="27.75" hidden="false" customHeight="true" outlineLevel="0" collapsed="false">
      <c r="A19" s="5"/>
      <c r="B19" s="5"/>
      <c r="C19" s="5"/>
      <c r="D19" s="5"/>
      <c r="E19" s="5"/>
      <c r="F19" s="7"/>
    </row>
    <row r="20" customFormat="false" ht="27.75" hidden="false" customHeight="true" outlineLevel="0" collapsed="false">
      <c r="A20" s="5"/>
      <c r="B20" s="5"/>
      <c r="C20" s="5"/>
      <c r="D20" s="5"/>
      <c r="E20" s="5"/>
      <c r="F20" s="7"/>
    </row>
    <row r="21" customFormat="false" ht="27.75" hidden="false" customHeight="true" outlineLevel="0" collapsed="false">
      <c r="A21" s="5"/>
      <c r="B21" s="5"/>
      <c r="C21" s="5"/>
      <c r="D21" s="5"/>
      <c r="E21" s="5"/>
      <c r="F21" s="7"/>
    </row>
    <row r="22" customFormat="false" ht="27.75" hidden="false" customHeight="true" outlineLevel="0" collapsed="false">
      <c r="A22" s="5"/>
      <c r="B22" s="5"/>
      <c r="C22" s="5"/>
      <c r="D22" s="5"/>
      <c r="E22" s="5"/>
      <c r="F22" s="7"/>
    </row>
    <row r="23" customFormat="false" ht="27.75" hidden="false" customHeight="true" outlineLevel="0" collapsed="false">
      <c r="A23" s="5"/>
      <c r="B23" s="5"/>
      <c r="C23" s="5"/>
      <c r="D23" s="5"/>
      <c r="E23" s="5"/>
      <c r="F23" s="7"/>
    </row>
    <row r="24" customFormat="false" ht="27.75" hidden="false" customHeight="true" outlineLevel="0" collapsed="false">
      <c r="A24" s="5"/>
      <c r="B24" s="5"/>
      <c r="C24" s="5"/>
      <c r="D24" s="5"/>
      <c r="E24" s="5"/>
      <c r="F24" s="7"/>
    </row>
    <row r="25" customFormat="false" ht="27.75" hidden="false" customHeight="true" outlineLevel="0" collapsed="false">
      <c r="A25" s="5"/>
      <c r="B25" s="5"/>
      <c r="C25" s="5"/>
      <c r="D25" s="5"/>
      <c r="E25" s="5"/>
      <c r="F25" s="7"/>
    </row>
    <row r="26" customFormat="false" ht="27.75" hidden="false" customHeight="true" outlineLevel="0" collapsed="false">
      <c r="A26" s="5"/>
      <c r="B26" s="5"/>
      <c r="C26" s="5"/>
      <c r="D26" s="5"/>
      <c r="E26" s="5"/>
      <c r="F26" s="7"/>
    </row>
    <row r="27" customFormat="false" ht="27.75" hidden="false" customHeight="true" outlineLevel="0" collapsed="false">
      <c r="A27" s="5"/>
      <c r="B27" s="5"/>
      <c r="C27" s="5"/>
      <c r="D27" s="5"/>
      <c r="E27" s="5"/>
      <c r="F27" s="7"/>
    </row>
    <row r="28" customFormat="false" ht="27.75" hidden="false" customHeight="true" outlineLevel="0" collapsed="false">
      <c r="A28" s="5"/>
      <c r="B28" s="5"/>
      <c r="C28" s="5"/>
      <c r="D28" s="5"/>
      <c r="E28" s="5"/>
      <c r="F28" s="7"/>
    </row>
    <row r="29" customFormat="false" ht="27.75" hidden="false" customHeight="true" outlineLevel="0" collapsed="false">
      <c r="A29" s="5"/>
      <c r="B29" s="5"/>
      <c r="C29" s="5"/>
      <c r="D29" s="5"/>
      <c r="E29" s="5"/>
      <c r="F29" s="7"/>
    </row>
    <row r="31" customFormat="false" ht="15" hidden="false" customHeight="false" outlineLevel="0" collapsed="false">
      <c r="A31" s="10" t="s">
        <v>850</v>
      </c>
      <c r="B31" s="12" t="n">
        <f aca="false">COUNTIF(C15:C29,"Added")</f>
        <v>0</v>
      </c>
    </row>
    <row r="32" customFormat="false" ht="15" hidden="false" customHeight="false" outlineLevel="0" collapsed="false">
      <c r="A32" s="10" t="s">
        <v>851</v>
      </c>
      <c r="B32" s="12" t="n">
        <f aca="false">COUNTIF(C15:C29,"Modified")</f>
        <v>0</v>
      </c>
    </row>
    <row r="33" customFormat="false" ht="15" hidden="false" customHeight="false" outlineLevel="0" collapsed="false">
      <c r="A33" s="10" t="s">
        <v>852</v>
      </c>
      <c r="B33" s="12" t="n">
        <f aca="false">COUNTIFS(C15:C29,"Modified",D15:D29,"Yes")</f>
        <v>0</v>
      </c>
    </row>
    <row r="35" customFormat="false" ht="15" hidden="false" customHeight="false" outlineLevel="0" collapsed="false">
      <c r="A35" s="16" t="s">
        <v>853</v>
      </c>
    </row>
  </sheetData>
  <mergeCells count="7">
    <mergeCell ref="B5:D5"/>
    <mergeCell ref="B6:D6"/>
    <mergeCell ref="B7:D7"/>
    <mergeCell ref="B8:D8"/>
    <mergeCell ref="B9:D9"/>
    <mergeCell ref="B10:D10"/>
    <mergeCell ref="B11:D11"/>
  </mergeCells>
  <conditionalFormatting sqref="A15:D29">
    <cfRule type="expression" priority="2" aboveAverage="0" equalAverage="0" bottom="0" percent="0" rank="0" text="" dxfId="14">
      <formula>AND($C15="Modified",$D15="Yes")</formula>
    </cfRule>
  </conditionalFormatting>
  <dataValidations count="3">
    <dataValidation allowBlank="true" errorStyle="stop" operator="between" showDropDown="false" showErrorMessage="false" showInputMessage="false" sqref="B11" type="list">
      <formula1>"No,Yes"</formula1>
      <formula2>0</formula2>
    </dataValidation>
    <dataValidation allowBlank="true" error="Choose a value from the list." errorStyle="stop" operator="between" showDropDown="false" showErrorMessage="true" showInputMessage="false" sqref="C15:C29" type="list">
      <formula1>"Added,Modified"</formula1>
      <formula2>0</formula2>
    </dataValidation>
    <dataValidation allowBlank="true" error="Choose a value from the list." errorStyle="stop" operator="between" showDropDown="false" showErrorMessage="true" showInputMessage="false" sqref="D15:D29"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4" min="3" style="0" width="14"/>
    <col collapsed="false" customWidth="true" hidden="false" outlineLevel="0" max="5" min="5" style="0" width="44"/>
  </cols>
  <sheetData>
    <row r="1" customFormat="false" ht="18.55" hidden="false" customHeight="false" outlineLevel="0" collapsed="false">
      <c r="A1" s="1" t="s">
        <v>51</v>
      </c>
    </row>
    <row r="2" customFormat="false" ht="15" hidden="false" customHeight="false" outlineLevel="0" collapsed="false">
      <c r="A2" s="2" t="s">
        <v>854</v>
      </c>
    </row>
    <row r="4" customFormat="false" ht="15" hidden="false" customHeight="false" outlineLevel="0" collapsed="false">
      <c r="A4" s="8" t="s">
        <v>855</v>
      </c>
      <c r="B4" s="8" t="s">
        <v>194</v>
      </c>
      <c r="C4" s="13" t="s">
        <v>856</v>
      </c>
      <c r="D4" s="14" t="s">
        <v>857</v>
      </c>
      <c r="E4" s="8" t="s">
        <v>858</v>
      </c>
    </row>
    <row r="5" customFormat="false" ht="15" hidden="false" customHeight="false" outlineLevel="0" collapsed="false">
      <c r="A5" s="20"/>
      <c r="B5" s="10" t="s">
        <v>859</v>
      </c>
      <c r="C5" s="20"/>
      <c r="D5" s="20"/>
      <c r="E5" s="20"/>
    </row>
    <row r="6" customFormat="false" ht="36" hidden="false" customHeight="true" outlineLevel="0" collapsed="false">
      <c r="A6" s="12" t="n">
        <v>1</v>
      </c>
      <c r="B6" s="6" t="s">
        <v>860</v>
      </c>
      <c r="C6" s="19"/>
      <c r="D6" s="21"/>
      <c r="E6" s="22" t="s">
        <v>861</v>
      </c>
    </row>
    <row r="7" customFormat="false" ht="24" hidden="false" customHeight="true" outlineLevel="0" collapsed="false">
      <c r="A7" s="12" t="n">
        <v>2</v>
      </c>
      <c r="B7" s="6" t="s">
        <v>862</v>
      </c>
      <c r="C7" s="19"/>
      <c r="D7" s="21"/>
      <c r="E7" s="22" t="s">
        <v>863</v>
      </c>
    </row>
    <row r="8" customFormat="false" ht="24" hidden="false" customHeight="true" outlineLevel="0" collapsed="false">
      <c r="A8" s="12" t="n">
        <v>3</v>
      </c>
      <c r="B8" s="6" t="s">
        <v>864</v>
      </c>
      <c r="C8" s="19"/>
      <c r="D8" s="21"/>
      <c r="E8" s="22" t="s">
        <v>865</v>
      </c>
    </row>
    <row r="9" customFormat="false" ht="24" hidden="false" customHeight="true" outlineLevel="0" collapsed="false">
      <c r="A9" s="12" t="n">
        <v>4</v>
      </c>
      <c r="B9" s="6" t="s">
        <v>866</v>
      </c>
      <c r="C9" s="19"/>
      <c r="D9" s="21"/>
      <c r="E9" s="22" t="s">
        <v>867</v>
      </c>
    </row>
    <row r="10" customFormat="false" ht="24" hidden="false" customHeight="true" outlineLevel="0" collapsed="false">
      <c r="A10" s="12" t="n">
        <v>5</v>
      </c>
      <c r="B10" s="6" t="s">
        <v>868</v>
      </c>
      <c r="C10" s="19"/>
      <c r="D10" s="21"/>
      <c r="E10" s="22" t="s">
        <v>869</v>
      </c>
    </row>
    <row r="11" customFormat="false" ht="24" hidden="false" customHeight="true" outlineLevel="0" collapsed="false">
      <c r="A11" s="12" t="n">
        <v>6</v>
      </c>
      <c r="B11" s="6" t="s">
        <v>870</v>
      </c>
      <c r="C11" s="19"/>
      <c r="D11" s="21"/>
      <c r="E11" s="22" t="s">
        <v>871</v>
      </c>
    </row>
    <row r="12" customFormat="false" ht="24" hidden="false" customHeight="true" outlineLevel="0" collapsed="false">
      <c r="A12" s="12" t="n">
        <v>7</v>
      </c>
      <c r="B12" s="6" t="s">
        <v>872</v>
      </c>
      <c r="C12" s="19"/>
      <c r="D12" s="21"/>
      <c r="E12" s="22" t="s">
        <v>873</v>
      </c>
    </row>
    <row r="13" customFormat="false" ht="24" hidden="false" customHeight="true" outlineLevel="0" collapsed="false">
      <c r="A13" s="12" t="n">
        <v>8</v>
      </c>
      <c r="B13" s="6" t="s">
        <v>874</v>
      </c>
      <c r="C13" s="19"/>
      <c r="D13" s="21"/>
      <c r="E13" s="22" t="s">
        <v>875</v>
      </c>
    </row>
    <row r="14" customFormat="false" ht="15" hidden="false" customHeight="true" outlineLevel="0" collapsed="false">
      <c r="A14" s="20"/>
      <c r="B14" s="10" t="s">
        <v>876</v>
      </c>
      <c r="C14" s="20"/>
      <c r="D14" s="20"/>
      <c r="E14" s="20"/>
    </row>
    <row r="15" customFormat="false" ht="48" hidden="false" customHeight="true" outlineLevel="0" collapsed="false">
      <c r="A15" s="12" t="n">
        <v>9</v>
      </c>
      <c r="B15" s="6" t="s">
        <v>877</v>
      </c>
      <c r="C15" s="19"/>
      <c r="D15" s="21"/>
      <c r="E15" s="22" t="s">
        <v>878</v>
      </c>
    </row>
    <row r="16" customFormat="false" ht="36" hidden="false" customHeight="true" outlineLevel="0" collapsed="false">
      <c r="A16" s="12" t="n">
        <v>10</v>
      </c>
      <c r="B16" s="6" t="s">
        <v>879</v>
      </c>
      <c r="C16" s="19"/>
      <c r="D16" s="21"/>
      <c r="E16" s="22" t="s">
        <v>880</v>
      </c>
    </row>
    <row r="17" customFormat="false" ht="36" hidden="false" customHeight="true" outlineLevel="0" collapsed="false">
      <c r="A17" s="12" t="n">
        <v>11</v>
      </c>
      <c r="B17" s="6" t="s">
        <v>881</v>
      </c>
      <c r="C17" s="19"/>
      <c r="D17" s="21"/>
      <c r="E17" s="22" t="s">
        <v>882</v>
      </c>
    </row>
  </sheetData>
  <conditionalFormatting sqref="C5:D18">
    <cfRule type="cellIs" priority="2" operator="equal" aboveAverage="0" equalAverage="0" bottom="0" percent="0" rank="0" text="" dxfId="15">
      <formula>"Yes"</formula>
    </cfRule>
    <cfRule type="cellIs" priority="3" operator="equal" aboveAverage="0" equalAverage="0" bottom="0" percent="0" rank="0" text="" dxfId="16">
      <formula>"Partial"</formula>
    </cfRule>
    <cfRule type="cellIs" priority="4" operator="equal" aboveAverage="0" equalAverage="0" bottom="0" percent="0" rank="0" text="" dxfId="17">
      <formula>"No"</formula>
    </cfRule>
    <cfRule type="cellIs" priority="5" operator="equal" aboveAverage="0" equalAverage="0" bottom="0" percent="0" rank="0" text="" dxfId="18">
      <formula>"N/A"</formula>
    </cfRule>
  </conditionalFormatting>
  <dataValidations count="1">
    <dataValidation allowBlank="true" errorStyle="stop" operator="between" showDropDown="false" showErrorMessage="false" showInputMessage="false" sqref="C6:D13 C15:D17" type="list">
      <formula1>"Yes,Partial,No,N/A"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30"/>
    <col collapsed="false" customWidth="true" hidden="false" outlineLevel="0" max="7" min="6" style="0" width="36"/>
    <col collapsed="false" customWidth="true" hidden="false" outlineLevel="0" max="8" min="8" style="0" width="22"/>
  </cols>
  <sheetData>
    <row r="1" customFormat="false" ht="18.55" hidden="false" customHeight="false" outlineLevel="0" collapsed="false">
      <c r="A1" s="1" t="s">
        <v>883</v>
      </c>
    </row>
    <row r="2" customFormat="false" ht="15" hidden="false" customHeight="false" outlineLevel="0" collapsed="false">
      <c r="A2" s="2" t="s">
        <v>884</v>
      </c>
    </row>
    <row r="4" customFormat="false" ht="39.75" hidden="false" customHeight="true" outlineLevel="0" collapsed="false">
      <c r="A4" s="8" t="s">
        <v>73</v>
      </c>
      <c r="B4" s="13" t="s">
        <v>74</v>
      </c>
      <c r="C4" s="13" t="s">
        <v>75</v>
      </c>
      <c r="D4" s="13" t="s">
        <v>885</v>
      </c>
      <c r="E4" s="13" t="s">
        <v>886</v>
      </c>
      <c r="F4" s="13" t="s">
        <v>887</v>
      </c>
      <c r="G4" s="13" t="s">
        <v>888</v>
      </c>
      <c r="H4" s="14" t="s">
        <v>99</v>
      </c>
    </row>
    <row r="5" customFormat="false" ht="48" hidden="false" customHeight="true" outlineLevel="0" collapsed="false">
      <c r="A5" s="10" t="s">
        <v>80</v>
      </c>
      <c r="B5" s="5" t="s">
        <v>81</v>
      </c>
      <c r="C5" s="5" t="s">
        <v>82</v>
      </c>
      <c r="D5" s="19" t="s">
        <v>889</v>
      </c>
      <c r="E5" s="5" t="s">
        <v>890</v>
      </c>
      <c r="F5" s="5" t="s">
        <v>891</v>
      </c>
      <c r="G5" s="5" t="s">
        <v>892</v>
      </c>
      <c r="H5" s="7"/>
    </row>
    <row r="6" customFormat="false" ht="48" hidden="false" customHeight="true" outlineLevel="0" collapsed="false">
      <c r="A6" s="10" t="s">
        <v>84</v>
      </c>
      <c r="B6" s="5" t="s">
        <v>85</v>
      </c>
      <c r="C6" s="5" t="s">
        <v>86</v>
      </c>
      <c r="D6" s="19" t="s">
        <v>889</v>
      </c>
      <c r="E6" s="5" t="s">
        <v>893</v>
      </c>
      <c r="F6" s="5" t="s">
        <v>894</v>
      </c>
      <c r="G6" s="5" t="s">
        <v>895</v>
      </c>
      <c r="H6" s="7"/>
    </row>
    <row r="7" customFormat="false" ht="48" hidden="false" customHeight="true" outlineLevel="0" collapsed="false">
      <c r="A7" s="10" t="s">
        <v>88</v>
      </c>
      <c r="B7" s="5" t="s">
        <v>89</v>
      </c>
      <c r="C7" s="5" t="s">
        <v>90</v>
      </c>
      <c r="D7" s="19" t="s">
        <v>889</v>
      </c>
      <c r="E7" s="5" t="s">
        <v>896</v>
      </c>
      <c r="F7" s="5" t="s">
        <v>897</v>
      </c>
      <c r="G7" s="5" t="s">
        <v>898</v>
      </c>
      <c r="H7" s="7"/>
    </row>
    <row r="9" customFormat="false" ht="15" hidden="false" customHeight="false" outlineLevel="0" collapsed="false">
      <c r="A9" s="16" t="s">
        <v>899</v>
      </c>
    </row>
    <row r="11" customFormat="false" ht="15" hidden="false" customHeight="false" outlineLevel="0" collapsed="false">
      <c r="A11" s="3" t="s">
        <v>900</v>
      </c>
    </row>
    <row r="12" customFormat="false" ht="33.75" hidden="false" customHeight="true" outlineLevel="0" collapsed="false">
      <c r="A12" s="13" t="s">
        <v>403</v>
      </c>
      <c r="B12" s="13" t="s">
        <v>75</v>
      </c>
      <c r="C12" s="13" t="s">
        <v>901</v>
      </c>
      <c r="D12" s="13" t="s">
        <v>902</v>
      </c>
      <c r="E12" s="13" t="s">
        <v>903</v>
      </c>
      <c r="F12" s="13" t="s">
        <v>904</v>
      </c>
      <c r="G12" s="14" t="s">
        <v>99</v>
      </c>
    </row>
    <row r="13" customFormat="false" ht="25.5" hidden="false" customHeight="true" outlineLevel="0" collapsed="false">
      <c r="A13" s="5"/>
      <c r="B13" s="5"/>
      <c r="C13" s="5"/>
      <c r="D13" s="5"/>
      <c r="E13" s="5"/>
      <c r="F13" s="5"/>
      <c r="G13" s="7"/>
    </row>
    <row r="14" customFormat="false" ht="25.5" hidden="false" customHeight="true" outlineLevel="0" collapsed="false">
      <c r="A14" s="5"/>
      <c r="B14" s="5"/>
      <c r="C14" s="5"/>
      <c r="D14" s="5"/>
      <c r="E14" s="5"/>
      <c r="F14" s="5"/>
      <c r="G14" s="7"/>
    </row>
    <row r="15" customFormat="false" ht="25.5" hidden="false" customHeight="true" outlineLevel="0" collapsed="false">
      <c r="A15" s="5"/>
      <c r="B15" s="5"/>
      <c r="C15" s="5"/>
      <c r="D15" s="5"/>
      <c r="E15" s="5"/>
      <c r="F15" s="5"/>
      <c r="G15" s="7"/>
    </row>
    <row r="16" customFormat="false" ht="25.5" hidden="false" customHeight="true" outlineLevel="0" collapsed="false">
      <c r="A16" s="5"/>
      <c r="B16" s="5"/>
      <c r="C16" s="5"/>
      <c r="D16" s="5"/>
      <c r="E16" s="5"/>
      <c r="F16" s="5"/>
      <c r="G16" s="7"/>
    </row>
    <row r="17" customFormat="false" ht="25.5" hidden="false" customHeight="true" outlineLevel="0" collapsed="false">
      <c r="A17" s="5"/>
      <c r="B17" s="5"/>
      <c r="C17" s="5"/>
      <c r="D17" s="5"/>
      <c r="E17" s="5"/>
      <c r="F17" s="5"/>
      <c r="G17" s="7"/>
    </row>
    <row r="18" customFormat="false" ht="25.5" hidden="false" customHeight="true" outlineLevel="0" collapsed="false">
      <c r="A18" s="5"/>
      <c r="B18" s="5"/>
      <c r="C18" s="5"/>
      <c r="D18" s="5"/>
      <c r="E18" s="5"/>
      <c r="F18" s="5"/>
      <c r="G18" s="7"/>
    </row>
    <row r="19" customFormat="false" ht="25.5" hidden="false" customHeight="true" outlineLevel="0" collapsed="false">
      <c r="A19" s="5"/>
      <c r="B19" s="5"/>
      <c r="C19" s="5"/>
      <c r="D19" s="5"/>
      <c r="E19" s="5"/>
      <c r="F19" s="5"/>
      <c r="G19" s="7"/>
    </row>
    <row r="20" customFormat="false" ht="25.5" hidden="false" customHeight="true" outlineLevel="0" collapsed="false">
      <c r="A20" s="5"/>
      <c r="B20" s="5"/>
      <c r="C20" s="5"/>
      <c r="D20" s="5"/>
      <c r="E20" s="5"/>
      <c r="F20" s="5"/>
      <c r="G20" s="7"/>
    </row>
    <row r="21" customFormat="false" ht="25.5" hidden="false" customHeight="true" outlineLevel="0" collapsed="false">
      <c r="A21" s="5"/>
      <c r="B21" s="5"/>
      <c r="C21" s="5"/>
      <c r="D21" s="5"/>
      <c r="E21" s="5"/>
      <c r="F21" s="5"/>
      <c r="G21" s="7"/>
    </row>
    <row r="22" customFormat="false" ht="25.5" hidden="false" customHeight="true" outlineLevel="0" collapsed="false">
      <c r="A22" s="5"/>
      <c r="B22" s="5"/>
      <c r="C22" s="5"/>
      <c r="D22" s="5"/>
      <c r="E22" s="5"/>
      <c r="F22" s="5"/>
      <c r="G22" s="7"/>
    </row>
    <row r="23" customFormat="false" ht="25.5" hidden="false" customHeight="true" outlineLevel="0" collapsed="false">
      <c r="A23" s="5"/>
      <c r="B23" s="5"/>
      <c r="C23" s="5"/>
      <c r="D23" s="5"/>
      <c r="E23" s="5"/>
      <c r="F23" s="5"/>
      <c r="G23" s="7"/>
    </row>
    <row r="24" customFormat="false" ht="25.5" hidden="false" customHeight="true" outlineLevel="0" collapsed="false">
      <c r="A24" s="5"/>
      <c r="B24" s="5"/>
      <c r="C24" s="5"/>
      <c r="D24" s="5"/>
      <c r="E24" s="5"/>
      <c r="F24" s="5"/>
      <c r="G24" s="7"/>
    </row>
    <row r="25" customFormat="false" ht="25.5" hidden="false" customHeight="true" outlineLevel="0" collapsed="false">
      <c r="A25" s="5"/>
      <c r="B25" s="5"/>
      <c r="C25" s="5"/>
      <c r="D25" s="5"/>
      <c r="E25" s="5"/>
      <c r="F25" s="5"/>
      <c r="G25" s="7"/>
    </row>
    <row r="26" customFormat="false" ht="25.5" hidden="false" customHeight="true" outlineLevel="0" collapsed="false">
      <c r="A26" s="5"/>
      <c r="B26" s="5"/>
      <c r="C26" s="5"/>
      <c r="D26" s="5"/>
      <c r="E26" s="5"/>
      <c r="F26" s="5"/>
      <c r="G26" s="7"/>
    </row>
    <row r="27" customFormat="false" ht="25.5" hidden="false" customHeight="true" outlineLevel="0" collapsed="false">
      <c r="A27" s="5"/>
      <c r="B27" s="5"/>
      <c r="C27" s="5"/>
      <c r="D27" s="5"/>
      <c r="E27" s="5"/>
      <c r="F27" s="5"/>
      <c r="G27" s="7"/>
    </row>
    <row r="28" customFormat="false" ht="25.5" hidden="false" customHeight="true" outlineLevel="0" collapsed="false">
      <c r="A28" s="5"/>
      <c r="B28" s="5"/>
      <c r="C28" s="5"/>
      <c r="D28" s="5"/>
      <c r="E28" s="5"/>
      <c r="F28" s="5"/>
      <c r="G28" s="7"/>
    </row>
    <row r="29" customFormat="false" ht="25.5" hidden="false" customHeight="true" outlineLevel="0" collapsed="false">
      <c r="A29" s="5"/>
      <c r="B29" s="5"/>
      <c r="C29" s="5"/>
      <c r="D29" s="5"/>
      <c r="E29" s="5"/>
      <c r="F29" s="5"/>
      <c r="G29" s="7"/>
    </row>
    <row r="30" customFormat="false" ht="25.5" hidden="false" customHeight="true" outlineLevel="0" collapsed="false">
      <c r="A30" s="5"/>
      <c r="B30" s="5"/>
      <c r="C30" s="5"/>
      <c r="D30" s="5"/>
      <c r="E30" s="5"/>
      <c r="F30" s="5"/>
      <c r="G30" s="7"/>
    </row>
    <row r="31" customFormat="false" ht="25.5" hidden="false" customHeight="true" outlineLevel="0" collapsed="false">
      <c r="A31" s="5"/>
      <c r="B31" s="5"/>
      <c r="C31" s="5"/>
      <c r="D31" s="5"/>
      <c r="E31" s="5"/>
      <c r="F31" s="5"/>
      <c r="G31" s="7"/>
    </row>
    <row r="32" customFormat="false" ht="25.5" hidden="false" customHeight="true" outlineLevel="0" collapsed="false">
      <c r="A32" s="5"/>
      <c r="B32" s="5"/>
      <c r="C32" s="5"/>
      <c r="D32" s="5"/>
      <c r="E32" s="5"/>
      <c r="F32" s="5"/>
      <c r="G32" s="7"/>
    </row>
    <row r="33" customFormat="false" ht="25.5" hidden="false" customHeight="true" outlineLevel="0" collapsed="false">
      <c r="A33" s="5"/>
      <c r="B33" s="5"/>
      <c r="C33" s="5"/>
      <c r="D33" s="5"/>
      <c r="E33" s="5"/>
      <c r="F33" s="5"/>
      <c r="G33" s="7"/>
    </row>
    <row r="34" customFormat="false" ht="25.5" hidden="false" customHeight="true" outlineLevel="0" collapsed="false">
      <c r="A34" s="5"/>
      <c r="B34" s="5"/>
      <c r="C34" s="5"/>
      <c r="D34" s="5"/>
      <c r="E34" s="5"/>
      <c r="F34" s="5"/>
      <c r="G34" s="7"/>
    </row>
    <row r="35" customFormat="false" ht="25.5" hidden="false" customHeight="true" outlineLevel="0" collapsed="false">
      <c r="A35" s="5"/>
      <c r="B35" s="5"/>
      <c r="C35" s="5"/>
      <c r="D35" s="5"/>
      <c r="E35" s="5"/>
      <c r="F35" s="5"/>
      <c r="G35" s="7"/>
    </row>
    <row r="36" customFormat="false" ht="25.5" hidden="false" customHeight="true" outlineLevel="0" collapsed="false">
      <c r="A36" s="5"/>
      <c r="B36" s="5"/>
      <c r="C36" s="5"/>
      <c r="D36" s="5"/>
      <c r="E36" s="5"/>
      <c r="F36" s="5"/>
      <c r="G36" s="7"/>
    </row>
    <row r="37" customFormat="false" ht="25.5" hidden="false" customHeight="true" outlineLevel="0" collapsed="false">
      <c r="A37" s="5"/>
      <c r="B37" s="5"/>
      <c r="C37" s="5"/>
      <c r="D37" s="5"/>
      <c r="E37" s="5"/>
      <c r="F37" s="5"/>
      <c r="G37" s="7"/>
    </row>
    <row r="38" customFormat="false" ht="25.5" hidden="false" customHeight="true" outlineLevel="0" collapsed="false">
      <c r="A38" s="5"/>
      <c r="B38" s="5"/>
      <c r="C38" s="5"/>
      <c r="D38" s="5"/>
      <c r="E38" s="5"/>
      <c r="F38" s="5"/>
      <c r="G38" s="7"/>
    </row>
    <row r="39" customFormat="false" ht="25.5" hidden="false" customHeight="true" outlineLevel="0" collapsed="false">
      <c r="A39" s="5"/>
      <c r="B39" s="5"/>
      <c r="C39" s="5"/>
      <c r="D39" s="5"/>
      <c r="E39" s="5"/>
      <c r="F39" s="5"/>
      <c r="G39" s="7"/>
    </row>
    <row r="40" customFormat="false" ht="25.5" hidden="false" customHeight="true" outlineLevel="0" collapsed="false">
      <c r="A40" s="5"/>
      <c r="B40" s="5"/>
      <c r="C40" s="5"/>
      <c r="D40" s="5"/>
      <c r="E40" s="5"/>
      <c r="F40" s="5"/>
      <c r="G40" s="7"/>
    </row>
    <row r="41" customFormat="false" ht="25.5" hidden="false" customHeight="true" outlineLevel="0" collapsed="false">
      <c r="A41" s="5"/>
      <c r="B41" s="5"/>
      <c r="C41" s="5"/>
      <c r="D41" s="5"/>
      <c r="E41" s="5"/>
      <c r="F41" s="5"/>
      <c r="G41" s="7"/>
    </row>
    <row r="42" customFormat="false" ht="25.5" hidden="false" customHeight="true" outlineLevel="0" collapsed="false">
      <c r="A42" s="5"/>
      <c r="B42" s="5"/>
      <c r="C42" s="5"/>
      <c r="D42" s="5"/>
      <c r="E42" s="5"/>
      <c r="F42" s="5"/>
      <c r="G42" s="7"/>
    </row>
  </sheetData>
  <conditionalFormatting sqref="D5:D7">
    <cfRule type="expression" priority="2" aboveAverage="0" equalAverage="0" bottom="0" percent="0" rank="0" text="" dxfId="19">
      <formula>AND(ISNUMBER(D5),D5&lt;=10)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8"/>
    <col collapsed="false" customWidth="true" hidden="false" outlineLevel="0" max="6" min="4" style="0" width="40"/>
    <col collapsed="false" customWidth="true" hidden="false" outlineLevel="0" max="7" min="7" style="0" width="14"/>
    <col collapsed="false" customWidth="true" hidden="false" outlineLevel="0" max="8" min="8" style="0" width="28"/>
  </cols>
  <sheetData>
    <row r="1" customFormat="false" ht="18.55" hidden="false" customHeight="false" outlineLevel="0" collapsed="false">
      <c r="A1" s="1" t="s">
        <v>905</v>
      </c>
    </row>
    <row r="2" customFormat="false" ht="15" hidden="false" customHeight="false" outlineLevel="0" collapsed="false">
      <c r="A2" s="2" t="s">
        <v>906</v>
      </c>
    </row>
    <row r="4" customFormat="false" ht="33.75" hidden="false" customHeight="true" outlineLevel="0" collapsed="false">
      <c r="A4" s="8" t="s">
        <v>93</v>
      </c>
      <c r="B4" s="13" t="s">
        <v>907</v>
      </c>
      <c r="C4" s="13" t="s">
        <v>2</v>
      </c>
      <c r="D4" s="13" t="s">
        <v>908</v>
      </c>
      <c r="E4" s="13" t="s">
        <v>909</v>
      </c>
      <c r="F4" s="13" t="s">
        <v>910</v>
      </c>
      <c r="G4" s="13" t="s">
        <v>75</v>
      </c>
      <c r="H4" s="14" t="s">
        <v>99</v>
      </c>
    </row>
    <row r="5" customFormat="false" ht="36" hidden="false" customHeight="true" outlineLevel="0" collapsed="false">
      <c r="A5" s="15" t="s">
        <v>911</v>
      </c>
      <c r="B5" s="5" t="s">
        <v>912</v>
      </c>
      <c r="C5" s="5" t="s">
        <v>913</v>
      </c>
      <c r="D5" s="5" t="s">
        <v>914</v>
      </c>
      <c r="E5" s="5" t="s">
        <v>915</v>
      </c>
      <c r="F5" s="5" t="s">
        <v>916</v>
      </c>
      <c r="G5" s="5" t="s">
        <v>917</v>
      </c>
      <c r="H5" s="7"/>
    </row>
    <row r="6" customFormat="false" ht="36" hidden="false" customHeight="true" outlineLevel="0" collapsed="false">
      <c r="A6" s="15" t="s">
        <v>918</v>
      </c>
      <c r="B6" s="5" t="s">
        <v>919</v>
      </c>
      <c r="C6" s="5" t="s">
        <v>920</v>
      </c>
      <c r="D6" s="5" t="s">
        <v>921</v>
      </c>
      <c r="E6" s="5" t="s">
        <v>922</v>
      </c>
      <c r="F6" s="5" t="s">
        <v>923</v>
      </c>
      <c r="G6" s="5" t="s">
        <v>917</v>
      </c>
      <c r="H6" s="7"/>
    </row>
    <row r="7" customFormat="false" ht="48" hidden="false" customHeight="true" outlineLevel="0" collapsed="false">
      <c r="A7" s="15" t="s">
        <v>924</v>
      </c>
      <c r="B7" s="5" t="s">
        <v>919</v>
      </c>
      <c r="C7" s="5" t="s">
        <v>925</v>
      </c>
      <c r="D7" s="5" t="s">
        <v>926</v>
      </c>
      <c r="E7" s="5" t="s">
        <v>927</v>
      </c>
      <c r="F7" s="5" t="s">
        <v>928</v>
      </c>
      <c r="G7" s="5" t="s">
        <v>917</v>
      </c>
      <c r="H7" s="7"/>
    </row>
    <row r="8" customFormat="false" ht="48" hidden="false" customHeight="true" outlineLevel="0" collapsed="false">
      <c r="A8" s="15" t="s">
        <v>929</v>
      </c>
      <c r="B8" s="5" t="s">
        <v>930</v>
      </c>
      <c r="C8" s="5" t="s">
        <v>931</v>
      </c>
      <c r="D8" s="5" t="s">
        <v>932</v>
      </c>
      <c r="E8" s="5" t="s">
        <v>933</v>
      </c>
      <c r="F8" s="5" t="s">
        <v>934</v>
      </c>
      <c r="G8" s="5" t="s">
        <v>917</v>
      </c>
      <c r="H8" s="7"/>
    </row>
    <row r="9" customFormat="false" ht="48" hidden="false" customHeight="true" outlineLevel="0" collapsed="false">
      <c r="A9" s="15" t="s">
        <v>935</v>
      </c>
      <c r="B9" s="5" t="s">
        <v>930</v>
      </c>
      <c r="C9" s="5" t="s">
        <v>936</v>
      </c>
      <c r="D9" s="5" t="s">
        <v>937</v>
      </c>
      <c r="E9" s="5" t="s">
        <v>938</v>
      </c>
      <c r="F9" s="5" t="s">
        <v>939</v>
      </c>
      <c r="G9" s="5" t="s">
        <v>917</v>
      </c>
      <c r="H9" s="7"/>
    </row>
    <row r="10" customFormat="false" ht="33.75" hidden="false" customHeight="true" outlineLevel="0" collapsed="false">
      <c r="A10" s="15" t="s">
        <v>940</v>
      </c>
      <c r="B10" s="5"/>
      <c r="C10" s="5"/>
      <c r="D10" s="5"/>
      <c r="E10" s="5"/>
      <c r="F10" s="5"/>
      <c r="G10" s="5"/>
      <c r="H10" s="7"/>
    </row>
    <row r="11" customFormat="false" ht="33.75" hidden="false" customHeight="true" outlineLevel="0" collapsed="false">
      <c r="A11" s="15" t="s">
        <v>941</v>
      </c>
      <c r="B11" s="5"/>
      <c r="C11" s="5"/>
      <c r="D11" s="5"/>
      <c r="E11" s="5"/>
      <c r="F11" s="5"/>
      <c r="G11" s="5"/>
      <c r="H11" s="7"/>
    </row>
    <row r="12" customFormat="false" ht="33.75" hidden="false" customHeight="true" outlineLevel="0" collapsed="false">
      <c r="A12" s="15" t="s">
        <v>942</v>
      </c>
      <c r="B12" s="5"/>
      <c r="C12" s="5"/>
      <c r="D12" s="5"/>
      <c r="E12" s="5"/>
      <c r="F12" s="5"/>
      <c r="G12" s="5"/>
      <c r="H12" s="7"/>
    </row>
    <row r="13" customFormat="false" ht="33.75" hidden="false" customHeight="true" outlineLevel="0" collapsed="false">
      <c r="A13" s="15" t="s">
        <v>943</v>
      </c>
      <c r="B13" s="5"/>
      <c r="C13" s="5"/>
      <c r="D13" s="5"/>
      <c r="E13" s="5"/>
      <c r="F13" s="5"/>
      <c r="G13" s="5"/>
      <c r="H13" s="7"/>
    </row>
    <row r="14" customFormat="false" ht="33.75" hidden="false" customHeight="true" outlineLevel="0" collapsed="false">
      <c r="A14" s="15" t="s">
        <v>944</v>
      </c>
      <c r="B14" s="5"/>
      <c r="C14" s="5"/>
      <c r="D14" s="5"/>
      <c r="E14" s="5"/>
      <c r="F14" s="5"/>
      <c r="G14" s="5"/>
      <c r="H14" s="7"/>
    </row>
    <row r="15" customFormat="false" ht="33.75" hidden="false" customHeight="true" outlineLevel="0" collapsed="false">
      <c r="A15" s="15" t="s">
        <v>945</v>
      </c>
      <c r="B15" s="5"/>
      <c r="C15" s="5"/>
      <c r="D15" s="5"/>
      <c r="E15" s="5"/>
      <c r="F15" s="5"/>
      <c r="G15" s="5"/>
      <c r="H15" s="7"/>
    </row>
    <row r="16" customFormat="false" ht="33.75" hidden="false" customHeight="true" outlineLevel="0" collapsed="false">
      <c r="A16" s="15" t="s">
        <v>946</v>
      </c>
      <c r="B16" s="5"/>
      <c r="C16" s="5"/>
      <c r="D16" s="5"/>
      <c r="E16" s="5"/>
      <c r="F16" s="5"/>
      <c r="G16" s="5"/>
      <c r="H16" s="7"/>
    </row>
    <row r="17" customFormat="false" ht="33.75" hidden="false" customHeight="true" outlineLevel="0" collapsed="false">
      <c r="A17" s="15" t="s">
        <v>947</v>
      </c>
      <c r="B17" s="5"/>
      <c r="C17" s="5"/>
      <c r="D17" s="5"/>
      <c r="E17" s="5"/>
      <c r="F17" s="5"/>
      <c r="G17" s="5"/>
      <c r="H17" s="7"/>
    </row>
    <row r="18" customFormat="false" ht="33.75" hidden="false" customHeight="true" outlineLevel="0" collapsed="false">
      <c r="A18" s="15" t="s">
        <v>948</v>
      </c>
      <c r="B18" s="5"/>
      <c r="C18" s="5"/>
      <c r="D18" s="5"/>
      <c r="E18" s="5"/>
      <c r="F18" s="5"/>
      <c r="G18" s="5"/>
      <c r="H18" s="7"/>
    </row>
    <row r="19" customFormat="false" ht="33.75" hidden="false" customHeight="true" outlineLevel="0" collapsed="false">
      <c r="A19" s="15" t="s">
        <v>949</v>
      </c>
      <c r="B19" s="5"/>
      <c r="C19" s="5"/>
      <c r="D19" s="5"/>
      <c r="E19" s="5"/>
      <c r="F19" s="5"/>
      <c r="G19" s="5"/>
      <c r="H19" s="7"/>
    </row>
    <row r="20" customFormat="false" ht="33.75" hidden="false" customHeight="true" outlineLevel="0" collapsed="false">
      <c r="A20" s="15" t="s">
        <v>950</v>
      </c>
      <c r="B20" s="5"/>
      <c r="C20" s="5"/>
      <c r="D20" s="5"/>
      <c r="E20" s="5"/>
      <c r="F20" s="5"/>
      <c r="G20" s="5"/>
      <c r="H20" s="7"/>
    </row>
    <row r="21" customFormat="false" ht="33.75" hidden="false" customHeight="true" outlineLevel="0" collapsed="false">
      <c r="A21" s="15" t="s">
        <v>951</v>
      </c>
      <c r="B21" s="5"/>
      <c r="C21" s="5"/>
      <c r="D21" s="5"/>
      <c r="E21" s="5"/>
      <c r="F21" s="5"/>
      <c r="G21" s="5"/>
      <c r="H21" s="7"/>
    </row>
    <row r="22" customFormat="false" ht="33.75" hidden="false" customHeight="true" outlineLevel="0" collapsed="false">
      <c r="A22" s="15" t="s">
        <v>952</v>
      </c>
      <c r="B22" s="5"/>
      <c r="C22" s="5"/>
      <c r="D22" s="5"/>
      <c r="E22" s="5"/>
      <c r="F22" s="5"/>
      <c r="G22" s="5"/>
      <c r="H22" s="7"/>
    </row>
    <row r="23" customFormat="false" ht="33.75" hidden="false" customHeight="true" outlineLevel="0" collapsed="false">
      <c r="A23" s="15" t="s">
        <v>953</v>
      </c>
      <c r="B23" s="5"/>
      <c r="C23" s="5"/>
      <c r="D23" s="5"/>
      <c r="E23" s="5"/>
      <c r="F23" s="5"/>
      <c r="G23" s="5"/>
      <c r="H23" s="7"/>
    </row>
    <row r="24" customFormat="false" ht="33.75" hidden="false" customHeight="true" outlineLevel="0" collapsed="false">
      <c r="A24" s="15" t="s">
        <v>954</v>
      </c>
      <c r="B24" s="5"/>
      <c r="C24" s="5"/>
      <c r="D24" s="5"/>
      <c r="E24" s="5"/>
      <c r="F24" s="5"/>
      <c r="G24" s="5"/>
      <c r="H24" s="7"/>
    </row>
    <row r="25" customFormat="false" ht="33.75" hidden="false" customHeight="true" outlineLevel="0" collapsed="false">
      <c r="A25" s="15" t="s">
        <v>955</v>
      </c>
      <c r="B25" s="5"/>
      <c r="C25" s="5"/>
      <c r="D25" s="5"/>
      <c r="E25" s="5"/>
      <c r="F25" s="5"/>
      <c r="G25" s="5"/>
      <c r="H25" s="7"/>
    </row>
    <row r="26" customFormat="false" ht="33.75" hidden="false" customHeight="true" outlineLevel="0" collapsed="false">
      <c r="A26" s="15" t="s">
        <v>956</v>
      </c>
      <c r="B26" s="5"/>
      <c r="C26" s="5"/>
      <c r="D26" s="5"/>
      <c r="E26" s="5"/>
      <c r="F26" s="5"/>
      <c r="G26" s="5"/>
      <c r="H26" s="7"/>
    </row>
    <row r="27" customFormat="false" ht="33.75" hidden="false" customHeight="true" outlineLevel="0" collapsed="false">
      <c r="A27" s="15" t="s">
        <v>957</v>
      </c>
      <c r="B27" s="5"/>
      <c r="C27" s="5"/>
      <c r="D27" s="5"/>
      <c r="E27" s="5"/>
      <c r="F27" s="5"/>
      <c r="G27" s="5"/>
      <c r="H27" s="7"/>
    </row>
    <row r="28" customFormat="false" ht="33.75" hidden="false" customHeight="true" outlineLevel="0" collapsed="false">
      <c r="A28" s="15" t="s">
        <v>958</v>
      </c>
      <c r="B28" s="5"/>
      <c r="C28" s="5"/>
      <c r="D28" s="5"/>
      <c r="E28" s="5"/>
      <c r="F28" s="5"/>
      <c r="G28" s="5"/>
      <c r="H28" s="7"/>
    </row>
    <row r="29" customFormat="false" ht="33.75" hidden="false" customHeight="true" outlineLevel="0" collapsed="false">
      <c r="A29" s="15" t="s">
        <v>959</v>
      </c>
      <c r="B29" s="5"/>
      <c r="C29" s="5"/>
      <c r="D29" s="5"/>
      <c r="E29" s="5"/>
      <c r="F29" s="5"/>
      <c r="G29" s="5"/>
      <c r="H29" s="7"/>
    </row>
    <row r="30" customFormat="false" ht="33.75" hidden="false" customHeight="true" outlineLevel="0" collapsed="false">
      <c r="A30" s="15" t="s">
        <v>960</v>
      </c>
      <c r="B30" s="5"/>
      <c r="C30" s="5"/>
      <c r="D30" s="5"/>
      <c r="E30" s="5"/>
      <c r="F30" s="5"/>
      <c r="G30" s="5"/>
      <c r="H30" s="7"/>
    </row>
    <row r="31" customFormat="false" ht="33.75" hidden="false" customHeight="true" outlineLevel="0" collapsed="false">
      <c r="A31" s="15" t="s">
        <v>961</v>
      </c>
      <c r="B31" s="5"/>
      <c r="C31" s="5"/>
      <c r="D31" s="5"/>
      <c r="E31" s="5"/>
      <c r="F31" s="5"/>
      <c r="G31" s="5"/>
      <c r="H31" s="7"/>
    </row>
    <row r="32" customFormat="false" ht="33.75" hidden="false" customHeight="true" outlineLevel="0" collapsed="false">
      <c r="A32" s="15" t="s">
        <v>962</v>
      </c>
      <c r="B32" s="5"/>
      <c r="C32" s="5"/>
      <c r="D32" s="5"/>
      <c r="E32" s="5"/>
      <c r="F32" s="5"/>
      <c r="G32" s="5"/>
      <c r="H32" s="7"/>
    </row>
    <row r="33" customFormat="false" ht="33.75" hidden="false" customHeight="true" outlineLevel="0" collapsed="false">
      <c r="A33" s="15" t="s">
        <v>963</v>
      </c>
      <c r="B33" s="5"/>
      <c r="C33" s="5"/>
      <c r="D33" s="5"/>
      <c r="E33" s="5"/>
      <c r="F33" s="5"/>
      <c r="G33" s="5"/>
      <c r="H33" s="7"/>
    </row>
    <row r="34" customFormat="false" ht="33.75" hidden="false" customHeight="true" outlineLevel="0" collapsed="false">
      <c r="A34" s="15" t="s">
        <v>964</v>
      </c>
      <c r="B34" s="5"/>
      <c r="C34" s="5"/>
      <c r="D34" s="5"/>
      <c r="E34" s="5"/>
      <c r="F34" s="5"/>
      <c r="G34" s="5"/>
      <c r="H34" s="7"/>
    </row>
    <row r="35" customFormat="false" ht="33.75" hidden="false" customHeight="true" outlineLevel="0" collapsed="false">
      <c r="A35" s="15" t="s">
        <v>965</v>
      </c>
      <c r="B35" s="5"/>
      <c r="C35" s="5"/>
      <c r="D35" s="5"/>
      <c r="E35" s="5"/>
      <c r="F35" s="5"/>
      <c r="G35" s="5"/>
      <c r="H35" s="7"/>
    </row>
    <row r="36" customFormat="false" ht="33.75" hidden="false" customHeight="true" outlineLevel="0" collapsed="false">
      <c r="A36" s="15" t="s">
        <v>966</v>
      </c>
      <c r="B36" s="5"/>
      <c r="C36" s="5"/>
      <c r="D36" s="5"/>
      <c r="E36" s="5"/>
      <c r="F36" s="5"/>
      <c r="G36" s="5"/>
      <c r="H36" s="7"/>
    </row>
    <row r="37" customFormat="false" ht="33.75" hidden="false" customHeight="true" outlineLevel="0" collapsed="false">
      <c r="A37" s="15" t="s">
        <v>967</v>
      </c>
      <c r="B37" s="5"/>
      <c r="C37" s="5"/>
      <c r="D37" s="5"/>
      <c r="E37" s="5"/>
      <c r="F37" s="5"/>
      <c r="G37" s="5"/>
      <c r="H37" s="7"/>
    </row>
    <row r="38" customFormat="false" ht="33.75" hidden="false" customHeight="true" outlineLevel="0" collapsed="false">
      <c r="A38" s="15" t="s">
        <v>968</v>
      </c>
      <c r="B38" s="5"/>
      <c r="C38" s="5"/>
      <c r="D38" s="5"/>
      <c r="E38" s="5"/>
      <c r="F38" s="5"/>
      <c r="G38" s="5"/>
      <c r="H38" s="7"/>
    </row>
    <row r="39" customFormat="false" ht="33.75" hidden="false" customHeight="true" outlineLevel="0" collapsed="false">
      <c r="A39" s="15" t="s">
        <v>969</v>
      </c>
      <c r="B39" s="5"/>
      <c r="C39" s="5"/>
      <c r="D39" s="5"/>
      <c r="E39" s="5"/>
      <c r="F39" s="5"/>
      <c r="G39" s="5"/>
      <c r="H39" s="7"/>
    </row>
    <row r="40" customFormat="false" ht="33.75" hidden="false" customHeight="true" outlineLevel="0" collapsed="false">
      <c r="A40" s="15" t="s">
        <v>970</v>
      </c>
      <c r="B40" s="5"/>
      <c r="C40" s="5"/>
      <c r="D40" s="5"/>
      <c r="E40" s="5"/>
      <c r="F40" s="5"/>
      <c r="G40" s="5"/>
      <c r="H40" s="7"/>
    </row>
    <row r="41" customFormat="false" ht="33.75" hidden="false" customHeight="true" outlineLevel="0" collapsed="false">
      <c r="A41" s="15" t="s">
        <v>971</v>
      </c>
      <c r="B41" s="5"/>
      <c r="C41" s="5"/>
      <c r="D41" s="5"/>
      <c r="E41" s="5"/>
      <c r="F41" s="5"/>
      <c r="G41" s="5"/>
      <c r="H41" s="7"/>
    </row>
    <row r="42" customFormat="false" ht="33.75" hidden="false" customHeight="true" outlineLevel="0" collapsed="false">
      <c r="A42" s="15" t="s">
        <v>972</v>
      </c>
      <c r="B42" s="5"/>
      <c r="C42" s="5"/>
      <c r="D42" s="5"/>
      <c r="E42" s="5"/>
      <c r="F42" s="5"/>
      <c r="G42" s="5"/>
      <c r="H42" s="7"/>
    </row>
    <row r="43" customFormat="false" ht="33.75" hidden="false" customHeight="true" outlineLevel="0" collapsed="false">
      <c r="A43" s="15" t="s">
        <v>973</v>
      </c>
      <c r="B43" s="5"/>
      <c r="C43" s="5"/>
      <c r="D43" s="5"/>
      <c r="E43" s="5"/>
      <c r="F43" s="5"/>
      <c r="G43" s="5"/>
      <c r="H43" s="7"/>
    </row>
    <row r="44" customFormat="false" ht="33.75" hidden="false" customHeight="true" outlineLevel="0" collapsed="false">
      <c r="A44" s="15" t="s">
        <v>974</v>
      </c>
      <c r="B44" s="5"/>
      <c r="C44" s="5"/>
      <c r="D44" s="5"/>
      <c r="E44" s="5"/>
      <c r="F44" s="5"/>
      <c r="G44" s="5"/>
      <c r="H44"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2"/>
    <col collapsed="false" customWidth="true" hidden="false" outlineLevel="0" max="3" min="2" style="0" width="46"/>
    <col collapsed="false" customWidth="true" hidden="false" outlineLevel="0" max="4" min="4" style="0" width="22"/>
    <col collapsed="false" customWidth="true" hidden="false" outlineLevel="0" max="5" min="5" style="0" width="12"/>
    <col collapsed="false" customWidth="true" hidden="false" outlineLevel="0" max="6" min="6" style="0" width="34"/>
  </cols>
  <sheetData>
    <row r="1" customFormat="false" ht="18.55" hidden="false" customHeight="false" outlineLevel="0" collapsed="false">
      <c r="A1" s="1" t="s">
        <v>60</v>
      </c>
    </row>
    <row r="2" customFormat="false" ht="15" hidden="false" customHeight="false" outlineLevel="0" collapsed="false">
      <c r="A2" s="2" t="s">
        <v>975</v>
      </c>
    </row>
    <row r="4" customFormat="false" ht="33.75" hidden="false" customHeight="true" outlineLevel="0" collapsed="false">
      <c r="A4" s="13" t="s">
        <v>976</v>
      </c>
      <c r="B4" s="13" t="s">
        <v>977</v>
      </c>
      <c r="C4" s="13" t="s">
        <v>978</v>
      </c>
      <c r="D4" s="13" t="s">
        <v>979</v>
      </c>
      <c r="E4" s="13" t="s">
        <v>980</v>
      </c>
      <c r="F4" s="14" t="s">
        <v>99</v>
      </c>
    </row>
    <row r="5" customFormat="false" ht="36" hidden="false" customHeight="true" outlineLevel="0" collapsed="false">
      <c r="A5" s="5"/>
      <c r="B5" s="5"/>
      <c r="C5" s="5"/>
      <c r="D5" s="5"/>
      <c r="E5" s="5"/>
      <c r="F5" s="7"/>
    </row>
    <row r="6" customFormat="false" ht="36" hidden="false" customHeight="true" outlineLevel="0" collapsed="false">
      <c r="A6" s="5"/>
      <c r="B6" s="5"/>
      <c r="C6" s="5"/>
      <c r="D6" s="5"/>
      <c r="E6" s="5"/>
      <c r="F6" s="7"/>
    </row>
    <row r="7" customFormat="false" ht="36" hidden="false" customHeight="true" outlineLevel="0" collapsed="false">
      <c r="A7" s="5"/>
      <c r="B7" s="5"/>
      <c r="C7" s="5"/>
      <c r="D7" s="5"/>
      <c r="E7" s="5"/>
      <c r="F7" s="7"/>
    </row>
    <row r="8" customFormat="false" ht="36" hidden="false" customHeight="true" outlineLevel="0" collapsed="false">
      <c r="A8" s="5"/>
      <c r="B8" s="5"/>
      <c r="C8" s="5"/>
      <c r="D8" s="5"/>
      <c r="E8" s="5"/>
      <c r="F8" s="7"/>
    </row>
    <row r="9" customFormat="false" ht="36" hidden="false" customHeight="true" outlineLevel="0" collapsed="false">
      <c r="A9" s="5"/>
      <c r="B9" s="5"/>
      <c r="C9" s="5"/>
      <c r="D9" s="5"/>
      <c r="E9" s="5"/>
      <c r="F9" s="7"/>
    </row>
    <row r="10" customFormat="false" ht="36" hidden="false" customHeight="true" outlineLevel="0" collapsed="false">
      <c r="A10" s="5"/>
      <c r="B10" s="5"/>
      <c r="C10" s="5"/>
      <c r="D10" s="5"/>
      <c r="E10" s="5"/>
      <c r="F10" s="7"/>
    </row>
    <row r="11" customFormat="false" ht="36" hidden="false" customHeight="true" outlineLevel="0" collapsed="false">
      <c r="A11" s="5"/>
      <c r="B11" s="5"/>
      <c r="C11" s="5"/>
      <c r="D11" s="5"/>
      <c r="E11" s="5"/>
      <c r="F11" s="7"/>
    </row>
    <row r="12" customFormat="false" ht="36" hidden="false" customHeight="true" outlineLevel="0" collapsed="false">
      <c r="A12" s="5"/>
      <c r="B12" s="5"/>
      <c r="C12" s="5"/>
      <c r="D12" s="5"/>
      <c r="E12" s="5"/>
      <c r="F12" s="7"/>
    </row>
    <row r="13" customFormat="false" ht="36" hidden="false" customHeight="true" outlineLevel="0" collapsed="false">
      <c r="A13" s="5"/>
      <c r="B13" s="5"/>
      <c r="C13" s="5"/>
      <c r="D13" s="5"/>
      <c r="E13" s="5"/>
      <c r="F13" s="7"/>
    </row>
    <row r="14" customFormat="false" ht="36" hidden="false" customHeight="true" outlineLevel="0" collapsed="false">
      <c r="A14" s="5"/>
      <c r="B14" s="5"/>
      <c r="C14" s="5"/>
      <c r="D14" s="5"/>
      <c r="E14" s="5"/>
      <c r="F14" s="7"/>
    </row>
    <row r="15" customFormat="false" ht="36" hidden="false" customHeight="true" outlineLevel="0" collapsed="false">
      <c r="A15" s="5"/>
      <c r="B15" s="5"/>
      <c r="C15" s="5"/>
      <c r="D15" s="5"/>
      <c r="E15" s="5"/>
      <c r="F15" s="7"/>
    </row>
    <row r="16" customFormat="false" ht="36" hidden="false" customHeight="true" outlineLevel="0" collapsed="false">
      <c r="A16" s="5"/>
      <c r="B16" s="5"/>
      <c r="C16" s="5"/>
      <c r="D16" s="5"/>
      <c r="E16" s="5"/>
      <c r="F16" s="7"/>
    </row>
    <row r="17" customFormat="false" ht="36" hidden="false" customHeight="true" outlineLevel="0" collapsed="false">
      <c r="A17" s="5"/>
      <c r="B17" s="5"/>
      <c r="C17" s="5"/>
      <c r="D17" s="5"/>
      <c r="E17" s="5"/>
      <c r="F17" s="7"/>
    </row>
    <row r="18" customFormat="false" ht="36" hidden="false" customHeight="true" outlineLevel="0" collapsed="false">
      <c r="A18" s="5"/>
      <c r="B18" s="5"/>
      <c r="C18" s="5"/>
      <c r="D18" s="5"/>
      <c r="E18" s="5"/>
      <c r="F18" s="7"/>
    </row>
    <row r="19" customFormat="false" ht="36" hidden="false" customHeight="true" outlineLevel="0" collapsed="false">
      <c r="A19" s="5"/>
      <c r="B19" s="5"/>
      <c r="C19" s="5"/>
      <c r="D19" s="5"/>
      <c r="E19" s="5"/>
      <c r="F19" s="7"/>
    </row>
    <row r="20" customFormat="false" ht="36" hidden="false" customHeight="true" outlineLevel="0" collapsed="false">
      <c r="A20" s="5"/>
      <c r="B20" s="5"/>
      <c r="C20" s="5"/>
      <c r="D20" s="5"/>
      <c r="E20" s="5"/>
      <c r="F20" s="7"/>
    </row>
    <row r="21" customFormat="false" ht="36" hidden="false" customHeight="true" outlineLevel="0" collapsed="false">
      <c r="A21" s="5"/>
      <c r="B21" s="5"/>
      <c r="C21" s="5"/>
      <c r="D21" s="5"/>
      <c r="E21" s="5"/>
      <c r="F21" s="7"/>
    </row>
    <row r="22" customFormat="false" ht="36" hidden="false" customHeight="true" outlineLevel="0" collapsed="false">
      <c r="A22" s="5"/>
      <c r="B22" s="5"/>
      <c r="C22" s="5"/>
      <c r="D22" s="5"/>
      <c r="E22" s="5"/>
      <c r="F22" s="7"/>
    </row>
    <row r="23" customFormat="false" ht="36" hidden="false" customHeight="true" outlineLevel="0" collapsed="false">
      <c r="A23" s="5"/>
      <c r="B23" s="5"/>
      <c r="C23" s="5"/>
      <c r="D23" s="5"/>
      <c r="E23" s="5"/>
      <c r="F23" s="7"/>
    </row>
    <row r="24" customFormat="false" ht="36" hidden="false" customHeight="true" outlineLevel="0" collapsed="false">
      <c r="A24" s="5"/>
      <c r="B24" s="5"/>
      <c r="C24" s="5"/>
      <c r="D24" s="5"/>
      <c r="E24" s="5"/>
      <c r="F24" s="7"/>
    </row>
    <row r="25" customFormat="false" ht="36" hidden="false" customHeight="true" outlineLevel="0" collapsed="false">
      <c r="A25" s="5"/>
      <c r="B25" s="5"/>
      <c r="C25" s="5"/>
      <c r="D25" s="5"/>
      <c r="E25" s="5"/>
      <c r="F25" s="7"/>
    </row>
    <row r="26" customFormat="false" ht="36" hidden="false" customHeight="true" outlineLevel="0" collapsed="false">
      <c r="A26" s="5"/>
      <c r="B26" s="5"/>
      <c r="C26" s="5"/>
      <c r="D26" s="5"/>
      <c r="E26" s="5"/>
      <c r="F26" s="7"/>
    </row>
    <row r="27" customFormat="false" ht="36" hidden="false" customHeight="true" outlineLevel="0" collapsed="false">
      <c r="A27" s="5"/>
      <c r="B27" s="5"/>
      <c r="C27" s="5"/>
      <c r="D27" s="5"/>
      <c r="E27" s="5"/>
      <c r="F27" s="7"/>
    </row>
    <row r="28" customFormat="false" ht="36" hidden="false" customHeight="true" outlineLevel="0" collapsed="false">
      <c r="A28" s="5"/>
      <c r="B28" s="5"/>
      <c r="C28" s="5"/>
      <c r="D28" s="5"/>
      <c r="E28" s="5"/>
      <c r="F28" s="7"/>
    </row>
    <row r="29" customFormat="false" ht="36" hidden="false" customHeight="true" outlineLevel="0" collapsed="false">
      <c r="A29" s="5"/>
      <c r="B29" s="5"/>
      <c r="C29" s="5"/>
      <c r="D29" s="5"/>
      <c r="E29" s="5"/>
      <c r="F29" s="7"/>
    </row>
  </sheetData>
  <dataValidations count="2">
    <dataValidation allowBlank="true" error="Choose a value from the list." errorStyle="stop" operator="between" showDropDown="false" showErrorMessage="true" showInputMessage="false" sqref="A5:A29" type="list">
      <formula1>"Presentation 1,Part 1 marking,Presentation 2,Part 2 marking,Week 5 checkpoint,Presentation 3,Other"</formula1>
      <formula2>0</formula2>
    </dataValidation>
    <dataValidation allowBlank="true" error="Choose a value from the list." errorStyle="stop" operator="between" showDropDown="false" showErrorMessage="true" showInputMessage="false" sqref="E5:E29" type="list">
      <formula1>"Yes,No,Partly"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