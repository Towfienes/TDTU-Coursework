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Instructions" sheetId="1" state="visible" r:id="rId3"/>
    <sheet name="Summary" sheetId="2" state="visible" r:id="rId4"/>
    <sheet name="Marking" sheetId="3" state="visible" r:id="rId5"/>
    <sheet name="Checklist" sheetId="4" state="visible" r:id="rId6"/>
    <sheet name="Rubric Guide"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<sst xmlns="http://schemas.openxmlformats.org/spreadsheetml/2006/main" count="374" uniqueCount="266">
  <si>
    <t xml:space="preserve">SaigonBite Final Project – Marking Workbook</t>
  </si>
  <si>
    <t xml:space="preserve">Introduction to Software Engineering  |  Sem01_2627  |  One workbook per team: students self-mark first, then the lecturer marks</t>
  </si>
  <si>
    <t xml:space="preserve">How to use</t>
  </si>
  <si>
    <t xml:space="preserve">Students</t>
  </si>
  <si>
    <t xml:space="preserve">1. Fill in the team name, tier and member details on the Summary sheet.</t>
  </si>
  <si>
    <t xml:space="preserve">2. On the Marking sheet, enter your self-mark for each rubric item in the yellow "Student self-mark" column (0 up to the item's Max). Use the Rubric Guide to choose a level, and write your evidence or justification in the next column.</t>
  </si>
  <si>
    <t xml:space="preserve">3. On the Checklist sheet, set every requirement to Yes, Partial, No or N/A in the yellow column.</t>
  </si>
  <si>
    <t xml:space="preserve">Lecturer</t>
  </si>
  <si>
    <t xml:space="preserve">4. Enter your marks in the green "Lecturer mark" column on the Marking sheet, add comments, and complete the green column on the Checklist sheet.</t>
  </si>
  <si>
    <t xml:space="preserve">5. On the Summary sheet, enter each member's commit count and Contribution Factor (0.70 to 1.00; leave blank for 1.00).</t>
  </si>
  <si>
    <t xml:space="preserve">Both</t>
  </si>
  <si>
    <t xml:space="preserve">6. All totals, differences, tier caps and individual scores are calculated automatically. Do not overwrite cells with black text.</t>
  </si>
  <si>
    <t xml:space="preserve">Colour legend</t>
  </si>
  <si>
    <t xml:space="preserve">Student input</t>
  </si>
  <si>
    <t xml:space="preserve">Yellow fill, blue text</t>
  </si>
  <si>
    <t xml:space="preserve">Cells students fill in</t>
  </si>
  <si>
    <t xml:space="preserve">Lecturer input</t>
  </si>
  <si>
    <t xml:space="preserve">Green fill, blue text</t>
  </si>
  <si>
    <t xml:space="preserve">Cells the lecturer fills in</t>
  </si>
  <si>
    <t xml:space="preserve">Calculated</t>
  </si>
  <si>
    <t xml:space="preserve">Black text, no fill</t>
  </si>
  <si>
    <t xml:space="preserve">Formulas; leave alone</t>
  </si>
  <si>
    <t xml:space="preserve">Scoring rules</t>
  </si>
  <si>
    <t xml:space="preserve">•  Each rubric item is marked out of its weight (for example 15 for Part 1: Proposal). The eight weights add up to 100.</t>
  </si>
  <si>
    <t xml:space="preserve">•  Level bands, as a share of the item's Max: Excellent 90-100%, Good 70-89%, Adequate 50-69%, Weak below 50%.</t>
  </si>
  <si>
    <t xml:space="preserve">•  Score out of 10 = rubric total ÷ 10, limited by the cap of the chosen tier (table below).</t>
  </si>
  <si>
    <t xml:space="preserve">•  Individual score = lecturer's capped score × Contribution Factor (0.70-1.00), based on commits, Contribution Statement, peer review and individual Q&amp;A.</t>
  </si>
  <si>
    <t xml:space="preserve">•  The Checklist does not change the marks by itself. It shows missing mandatory items so that the rubric marks are justified.</t>
  </si>
  <si>
    <t xml:space="preserve">Tier caps (lecturer may edit the blue values)</t>
  </si>
  <si>
    <t xml:space="preserve">Tier</t>
  </si>
  <si>
    <t xml:space="preserve">Max score (/10)</t>
  </si>
  <si>
    <t xml:space="preserve">Tier 1</t>
  </si>
  <si>
    <t xml:space="preserve">Tier 1B</t>
  </si>
  <si>
    <t xml:space="preserve">Tier 2</t>
  </si>
  <si>
    <t xml:space="preserve">Tier 3</t>
  </si>
  <si>
    <t xml:space="preserve">Tier 4</t>
  </si>
  <si>
    <t xml:space="preserve">Source: Project Specification, section 3 (Technology Tiers). Tier 4 needs a live sandbox API, an admin dashboard and automated tests.</t>
  </si>
  <si>
    <t xml:space="preserve">Example of a filled marking row (for illustration only, not part of your marks)</t>
  </si>
  <si>
    <t xml:space="preserve">Item</t>
  </si>
  <si>
    <t xml:space="preserve">Max</t>
  </si>
  <si>
    <t xml:space="preserve">Student self-mark / justification</t>
  </si>
  <si>
    <t xml:space="preserve">Lecturer mark / comment</t>
  </si>
  <si>
    <t xml:space="preserve">Part 1: Proposal &amp; Requirements Doc</t>
  </si>
  <si>
    <t xml:space="preserve">12.5  –  "FRs have IDs and map to BR1-BR14; Ambiguity Log lists 4 items; NFRs measurable. Weak spot: report requirements are brief."</t>
  </si>
  <si>
    <t xml:space="preserve">11.0  –  "Good (73%). NFR3 not measurable; Ambiguity Log solid."</t>
  </si>
  <si>
    <t xml:space="preserve">Team Summary &amp; Results</t>
  </si>
  <si>
    <t xml:space="preserve">Results are calculated from the Marking sheet.</t>
  </si>
  <si>
    <t xml:space="preserve">Team name</t>
  </si>
  <si>
    <t xml:space="preserve">TeamG4</t>
  </si>
  <si>
    <t xml:space="preserve">Course / semester</t>
  </si>
  <si>
    <t xml:space="preserve">Introduction to Software Engineering – Sem01_2627</t>
  </si>
  <si>
    <t xml:space="preserve">Chosen tier (student)</t>
  </si>
  <si>
    <t xml:space="preserve">Tier cap (max /10)</t>
  </si>
  <si>
    <t xml:space="preserve">Uses the lecturer's confirmed tier if entered, otherwise the student's.</t>
  </si>
  <si>
    <t xml:space="preserve">Tier confirmed by lecturer</t>
  </si>
  <si>
    <t xml:space="preserve">Marked by (lecturer)</t>
  </si>
  <si>
    <t xml:space="preserve">Date marked</t>
  </si>
  <si>
    <t xml:space="preserve">Team results</t>
  </si>
  <si>
    <t xml:space="preserve">Measure</t>
  </si>
  <si>
    <t xml:space="preserve">Student self-marking</t>
  </si>
  <si>
    <t xml:space="preserve">Difference (self − lecturer)</t>
  </si>
  <si>
    <t xml:space="preserve">Rubric total (/100)</t>
  </si>
  <si>
    <t xml:space="preserve">Score after tier cap (/10)</t>
  </si>
  <si>
    <t xml:space="preserve">Choose a tier above to see the capped score.</t>
  </si>
  <si>
    <t xml:space="preserve">Team members and individual scores</t>
  </si>
  <si>
    <t xml:space="preserve">Member</t>
  </si>
  <si>
    <t xml:space="preserve">Name</t>
  </si>
  <si>
    <t xml:space="preserve">Student ID</t>
  </si>
  <si>
    <t xml:space="preserve">Use case(s) owned</t>
  </si>
  <si>
    <t xml:space="preserve">Commits on GitHub (need &gt;10)</t>
  </si>
  <si>
    <t xml:space="preserve">Contribution Factor (0.70-1.00)</t>
  </si>
  <si>
    <t xml:space="preserve">Individual score (/10) = lecturer score × factor</t>
  </si>
  <si>
    <t xml:space="preserve">Member 1</t>
  </si>
  <si>
    <t xml:space="preserve">Ngô Lâm Tiến</t>
  </si>
  <si>
    <t xml:space="preserve">524H0195</t>
  </si>
  <si>
    <t xml:space="preserve">D - Place and Manage Orders; secondary C; pricing/payment. Planned reviewer: 524H0179.</t>
  </si>
  <si>
    <t xml:space="preserve">Member 2</t>
  </si>
  <si>
    <t xml:space="preserve">Nguyễn Công Thành</t>
  </si>
  <si>
    <t xml:space="preserve">524H0191</t>
  </si>
  <si>
    <t xml:space="preserve">A - Manage Menu &amp; Brands; secondary E; R1. Planned reviewer: 524H0195.</t>
  </si>
  <si>
    <t xml:space="preserve">Member 3</t>
  </si>
  <si>
    <t xml:space="preserve">Nguyễn Trọng Phú</t>
  </si>
  <si>
    <t xml:space="preserve">524H0179</t>
  </si>
  <si>
    <t xml:space="preserve">B - Manage Hubs &amp; Capacity; secondary F; R2. Planned reviewer: 524H0191.</t>
  </si>
  <si>
    <t xml:space="preserve">Commit counts of 10 or fewer are highlighted red. Leave the Contribution Factor blank for 1.00.</t>
  </si>
  <si>
    <t xml:space="preserve">Overall comments</t>
  </si>
  <si>
    <t xml:space="preserve">Student reflection (optional)</t>
  </si>
  <si>
    <t xml:space="preserve">Provisional Part 1 team self-assessment, 25 Oct 2026: 19/20 (document 14.5/15; pitch 4.5/5). Each owner has a planned peer reviewer; joint baseline, shared-contract and integration reviews are in the tracking workbook. Pitch Yes is team self-assessment; live speaking/timing/Q&amp;A were not independently verified. Parts 2/3/Final remain unscored. The /100 total is an incomplete whole-project subtotal, not a final grade. Lecturer cells are blank; calculated zeros are placeholders, not assigned marks.</t>
  </si>
  <si>
    <t xml:space="preserve">Lecturer feedback</t>
  </si>
  <si>
    <t xml:space="preserve">Rubric Marking</t>
  </si>
  <si>
    <t xml:space="preserve">Enter marks as points out of each item's Max. Yellow = student self-mark, green = lecturer mark.</t>
  </si>
  <si>
    <t xml:space="preserve">Part</t>
  </si>
  <si>
    <t xml:space="preserve">Rubric item</t>
  </si>
  <si>
    <t xml:space="preserve">Max (weight)</t>
  </si>
  <si>
    <t xml:space="preserve">What to check for full marks</t>
  </si>
  <si>
    <t xml:space="preserve">Student self-mark</t>
  </si>
  <si>
    <t xml:space="preserve">Lecturer mark</t>
  </si>
  <si>
    <t xml:space="preserve">Student justification / evidence</t>
  </si>
  <si>
    <t xml:space="preserve">Lecturer comments</t>
  </si>
  <si>
    <t xml:space="preserve">Part 1</t>
  </si>
  <si>
    <t xml:space="preserve">Proposal &amp; Requirements Doc</t>
  </si>
  <si>
    <t xml:space="preserve">FRs have IDs, are testable, and map to use cases, business rules and the 2 reports. One CRUD use case per student is clear. At least 3 measurable NFRs (4 baselines + 2 of your own). Ambiguity Log has 3 or more sensible assumptions. Professional formatting.</t>
  </si>
  <si>
    <t xml:space="preserve">Provisional team self-estimate 14.5/15 (Excellent band). Report §§1.1–1.5: 47 FRs, 6 measurable NFRs, 5 assumptions, UC/BR/report mappings and D/A/B CRUD ownership. Planned peer review: Phú reviews Tiến; Tiến reviews Thành; Thành reviews Phú. Workbook task board defines joint contracts, baseline review and end-to-end integration with future PR/comment/test evidence. Review completion and historical raw AI records remain pending; not a lecturer mark.</t>
  </si>
  <si>
    <t xml:space="preserve">Presentation 1: Solution Pitch</t>
  </si>
  <si>
    <t xml:space="preserve">Clear 5-7 minute pitch. All members speak and claim their use case. Ties the plan to client value. Handles questions well.</t>
  </si>
  <si>
    <t xml:space="preserve">Provisional team self-mark 4.5/5 (Excellent band). Team self-assessment records participation/ownership as Yes. Supporting assets: 5-slide PDF/PPTX, notes and a planned 6:15 script assigning D/A/B to all 3 members. Live speaking, duration and Q&amp;A were not independently verified; lecturer review remains pending.</t>
  </si>
  <si>
    <t xml:space="preserve">Part 2</t>
  </si>
  <si>
    <t xml:space="preserve">Design Doc &amp; Figma</t>
  </si>
  <si>
    <t xml:space="preserve">Complete use case specs, behavioral diagrams and Order state diagram. CRC cards and class diagram show the Strategy pattern and clear separation. Architecture linked to NFRs. Figma prototype matches the flows and reports.</t>
  </si>
  <si>
    <t xml:space="preserve">Not assessed in this Part 1 snapshot. Part 2 requires owned UC specifications, behavioural/state diagrams, CRC/class/ERD, NFR-linked architecture and a public Figma prototype. Re-verify later artefacts before scoring.</t>
  </si>
  <si>
    <t xml:space="preserve">Presentation 2: Design Review</t>
  </si>
  <si>
    <t xml:space="preserve">Effective technical walkthrough of CRC, database logic and Figma. Prototype reflects multi-payment, load-aware pricing and the reports.</t>
  </si>
  <si>
    <t xml:space="preserve">Not assessed. Live Design Review, technical explanation and individual Q&amp;A must be observed before scoring.</t>
  </si>
  <si>
    <t xml:space="preserve">Part 3</t>
  </si>
  <si>
    <t xml:space="preserve">Implementation &amp; QA</t>
  </si>
  <si>
    <t xml:space="preserve">Owned use cases with full CRUD work flawlessly. Strict MVC/3-Tier. Pricing rules (BR1-BR14) isolated and correct. 20+ EP/BVA cases and 5+ invalid-transition tests with traceable IDs. Design justification and RTM complete. Change Request absorbed with local changes (Tier 4: automation tests).</t>
  </si>
  <si>
    <t xml:space="preserve">Not assessed. Re-run CRUD, pricing/state/payment, MVC and Tier 4 evidence checks; retain at least 20 EP/BVA and 5 invalid-transition results. The current RTM is a plan. No historical application results are certified here.</t>
  </si>
  <si>
    <t xml:space="preserve">Live Demo</t>
  </si>
  <si>
    <t xml:space="preserve">Flawless live execution of the chosen use cases and both reports. Each student answers individual questions confidently.</t>
  </si>
  <si>
    <t xml:space="preserve">Not assessed. Observe the actual demo of owned scopes, both reports and individual answers; prepared files are not live-demo evidence.</t>
  </si>
  <si>
    <t xml:space="preserve">Final</t>
  </si>
  <si>
    <t xml:space="preserve">Comprehensive Report</t>
  </si>
  <si>
    <t xml:space="preserve">Parts 1-3 in one polished PDF with bookmarks. Previous feedback clearly addressed. Insightful, individual Lessons Learnt from every member.</t>
  </si>
  <si>
    <t xml:space="preserve">Not assessed. Consolidate Parts 1–3 with bookmarks, feedback changes and individual Lessons Learnt after their reviews. The current PDF is a separate Part 1 report.</t>
  </si>
  <si>
    <t xml:space="preserve">Video Demo</t>
  </si>
  <si>
    <t xml:space="preserve">High quality and clear narration. End-to-end flow including both customer types and both reports.</t>
  </si>
  <si>
    <t xml:space="preserve">Not assessed. Verify the final narrated end-to-end video covering both customer types and R1/R2; historical draft recordings were not reviewed in this task.</t>
  </si>
  <si>
    <t xml:space="preserve">Total</t>
  </si>
  <si>
    <t xml:space="preserve">Subtotals by part</t>
  </si>
  <si>
    <t xml:space="preserve">Self</t>
  </si>
  <si>
    <t xml:space="preserve">Difference</t>
  </si>
  <si>
    <t xml:space="preserve">A red difference means self-mark and lecturer mark differ by more than 20% of the item's Max: discuss it in the feedback session.</t>
  </si>
  <si>
    <t xml:space="preserve">Mandatory Items Checklist</t>
  </si>
  <si>
    <t xml:space="preserve">Set each item to Yes, Partial, No or N/A. Yellow = student, green = lecturer. Use N/A only where the item does not apply (for example the Tier 4 items).</t>
  </si>
  <si>
    <t xml:space="preserve">Status count</t>
  </si>
  <si>
    <t xml:space="preserve">Student</t>
  </si>
  <si>
    <t xml:space="preserve">Yes</t>
  </si>
  <si>
    <t xml:space="preserve">Partial</t>
  </si>
  <si>
    <t xml:space="preserve">No</t>
  </si>
  <si>
    <t xml:space="preserve">N/A</t>
  </si>
  <si>
    <t xml:space="preserve">Completion (Yes = 1, Partial = 0.5, N/A excluded)</t>
  </si>
  <si>
    <t xml:space="preserve">#</t>
  </si>
  <si>
    <t xml:space="preserve">Requirement</t>
  </si>
  <si>
    <t xml:space="preserve">Notes / evidence</t>
  </si>
  <si>
    <t xml:space="preserve">Title page has project name, members, student IDs and chosen tier</t>
  </si>
  <si>
    <t xml:space="preserve">Report title page: SaigonBite, TeamG4, all 3 names/IDs and proposed Tier 4.</t>
  </si>
  <si>
    <t xml:space="preserve">Each student owns at least one use case with complete CRUD; ownership table is explicit</t>
  </si>
  <si>
    <t xml:space="preserve">Report §1.1: Tiến0195 owns D, Thành0191 owns A, Phú0179 owns B; CRUD explicit. Planned peer review: Phú reviews Tiến; Tiến reviews Thành; Thành reviews Phú. Shared contracts and integration tasks are planned in the workbook; completed reviews are not claimed.</t>
  </si>
  <si>
    <t xml:space="preserve">FRs are numbered ("The system shall…") and mapped to use cases, business rules and reports</t>
  </si>
  <si>
    <t xml:space="preserve">Report §1.3 and workbook Requirements/RTM: 47 stable FR IDs, shall statements, sources, use cases and owners.</t>
  </si>
  <si>
    <t xml:space="preserve">NFRs: the 4 baselines plus at least 2 team-defined, all measurable</t>
  </si>
  <si>
    <t xml:space="preserve">Report §1.4: NFR1–4 mandatory baselines plus NFR5 auditability and NFR6 reliability; targets and verification plans.</t>
  </si>
  <si>
    <t xml:space="preserve">Both required reports (Revenue and Hub Utilization) are specified and owned</t>
  </si>
  <si>
    <t xml:space="preserve">R1 Revenue owner Thành0191, planned reviewer Tiến0195. R2 Hub Utilization owner Phú0179, planned reviewer Thành0191. Joint checks will reconcile payments, hub/delivery data and report totals.</t>
  </si>
  <si>
    <t xml:space="preserve">Ambiguity Log lists at least 3 gaps with assumptions</t>
  </si>
  <si>
    <t xml:space="preserve">Report §1.5 and workbook Ambiguity Log: A1–A5, working assumptions and affected scopes; answers pending.</t>
  </si>
  <si>
    <t xml:space="preserve">Presentation 1: all members spoke and claimed their use case</t>
  </si>
  <si>
    <t xml:space="preserve">Team self-assessment: Yes. Prepared deck/script assigns D/A/B to all 3 speakers. Live speaking, duration and Q&amp;A were not independently verified.</t>
  </si>
  <si>
    <t xml:space="preserve">Overall use case diagram with actor generalization (Customer, Local Customer, Foreign Tourist)</t>
  </si>
  <si>
    <t xml:space="preserve">Pending Part 2 verification: overall UC diagram and Customer specialisations.</t>
  </si>
  <si>
    <t xml:space="preserve">Use case specification for each owned use case (pre-conditions, main flow, alternates, post-conditions)</t>
  </si>
  <si>
    <t xml:space="preserve">Pending Part 2 verification: a complete specification for every owned main use case.</t>
  </si>
  <si>
    <t xml:space="preserve">Sequence or Activity diagram for each owned use case</t>
  </si>
  <si>
    <t xml:space="preserve">Pending Part 2 verification: matching Sequence/Activity diagram for each owned use case.</t>
  </si>
  <si>
    <t xml:space="preserve">Order State Diagram matches the lifecycle (8 states, allowed transitions and actors)</t>
  </si>
  <si>
    <t xml:space="preserve">Pending Part 2 verification: all 8 order states, allowed actors and guarded transitions.</t>
  </si>
  <si>
    <t xml:space="preserve">CRC cards and class diagram/ERD, showing the Strategy pattern for payments</t>
  </si>
  <si>
    <t xml:space="preserve">Pending Part 2 verification: CRC/class/ERD and payment Strategy design.</t>
  </si>
  <si>
    <t xml:space="preserve">Architecture diagram (3-Tier or MVC), quality principles, and where pricing rules live</t>
  </si>
  <si>
    <t xml:space="preserve">Pending Part 2 verification: architecture and design evidence tied to NFRs; Part 1 only proposes the layers.</t>
  </si>
  <si>
    <t xml:space="preserve">Public Figma link; 4 stages; reports, price breakdown checkout and order tracking shown</t>
  </si>
  <si>
    <t xml:space="preserve">Public Figma link and 4-stage flow verification remain pending.</t>
  </si>
  <si>
    <t xml:space="preserve">Tagged GitHub release is submitted and the application runs</t>
  </si>
  <si>
    <t xml:space="preserve">Release/tag and clean execution were not verified at this checkpoint.</t>
  </si>
  <si>
    <t xml:space="preserve">More than 10 meaningful commits per student (see Summary sheet)</t>
  </si>
  <si>
    <t xml:space="preserve">Lecturer commit-count cells left blank; per-student GitHub attribution and &gt;10 meaningful commits not audited.</t>
  </si>
  <si>
    <t xml:space="preserve">Contribution Statement signed by all members</t>
  </si>
  <si>
    <t xml:space="preserve">Contribution scopes assigned; actual signed Contribution Statement is a later human deliverable.</t>
  </si>
  <si>
    <t xml:space="preserve">Pricing rules BR1-BR14 implemented, with calculation order and rounding as specified</t>
  </si>
  <si>
    <t xml:space="preserve">Pricing implementation and boundary/rounding execution not re-verified in this Part 1 task.</t>
  </si>
  <si>
    <t xml:space="preserve">Order state machine enforced in the business layer</t>
  </si>
  <si>
    <t xml:space="preserve">Business-layer state enforcement and atomic history writes require execution evidence.</t>
  </si>
  <si>
    <t xml:space="preserve">Strict MVC/3-Tier separation; Bootstrap used (web tiers)</t>
  </si>
  <si>
    <t xml:space="preserve">Proposed MVC/EF Code-First/Bootstrap foundation; actual separation and Core variant acceptance pending.</t>
  </si>
  <si>
    <t xml:space="preserve">Complete CRUD works for every owned use case</t>
  </si>
  <si>
    <t xml:space="preserve">Run full CRUD journeys for D/A/B before confirming this item.</t>
  </si>
  <si>
    <t xml:space="preserve">Both customer types and all payment methods work (simulated, or live for Tier 4)</t>
  </si>
  <si>
    <t xml:space="preserve">Run both customer types and all actor-eligible payment methods; live sandbox proof is required for the Tier 4 claim.</t>
  </si>
  <si>
    <t xml:space="preserve">Reports R1 (Revenue) and R2 (Hub Utilization) work</t>
  </si>
  <si>
    <t xml:space="preserve">R1/R2 requirements and owners specified; authorised live report behaviour not re-verified here.</t>
  </si>
  <si>
    <t xml:space="preserve">Test plan table with Test ID, input, expected, actual, pass/fail and FR/BR IDs</t>
  </si>
  <si>
    <t xml:space="preserve">The original workbook Test Cases sheet is retained, but detailed inputs/expected/actual execution rows are not completed for Part 1.</t>
  </si>
  <si>
    <t xml:space="preserve">At least 20 EP/BVA test cases on pricing thresholds</t>
  </si>
  <si>
    <t xml:space="preserve">At least 20 EP/BVA cases are planned; no fresh executed case count is claimed.</t>
  </si>
  <si>
    <t xml:space="preserve">At least 5 tests of invalid order-state transitions</t>
  </si>
  <si>
    <t xml:space="preserve">At least 5 forbidden-transition cases are planned; execution not certified.</t>
  </si>
  <si>
    <t xml:space="preserve">Unit test execution evidence (screenshots or logs)</t>
  </si>
  <si>
    <t xml:space="preserve">Historical logs were not rerun or certified in this Part 1 document revision.</t>
  </si>
  <si>
    <t xml:space="preserve">Change Request implemented, with a one-page Impact Note</t>
  </si>
  <si>
    <t xml:space="preserve">Record the actual Week 5 instructor request, implementation and class-change evidence when issued.</t>
  </si>
  <si>
    <t xml:space="preserve">Detailed Design Justification compares final design with Part 2</t>
  </si>
  <si>
    <t xml:space="preserve">Final-versus-Part-2 design comparison belongs to the later QA report.</t>
  </si>
  <si>
    <t xml:space="preserve">RTM links every FR and NFR to design, code and tests, with a verdict</t>
  </si>
  <si>
    <t xml:space="preserve">53 seed RTM rows link every FR/NFR to planned design/code/test IDs. All verdicts Not tested; actual code/execution reconciliation pending.</t>
  </si>
  <si>
    <t xml:space="preserve">Deployed app link or executable path provided</t>
  </si>
  <si>
    <t xml:space="preserve">Deployment/release run path not verified in this task.</t>
  </si>
  <si>
    <t xml:space="preserve">Tier 4 only: live sandbox API integration works</t>
  </si>
  <si>
    <t xml:space="preserve">Tier 4 applies. Real sandbox transaction/callback evidence pending; a mock does not establish completion.</t>
  </si>
  <si>
    <t xml:space="preserve">Tier 4 only: interactive Admin dashboard</t>
  </si>
  <si>
    <t xml:space="preserve">Tier 4 applies. Working R1/R2 filters, chart/table reconciliation and non-Admin denial require verification.</t>
  </si>
  <si>
    <t xml:space="preserve">Tier 4 only: automated tests (Selenium or Playwright) with logs</t>
  </si>
  <si>
    <t xml:space="preserve">Tier 4 applies. Retain actual automated workflow execution logs; plans or historical counts alone are insufficient.</t>
  </si>
  <si>
    <t xml:space="preserve">Single consolidated PDF with working bookmarks</t>
  </si>
  <si>
    <t xml:space="preserve">Final consolidated Parts 1–3 PDF not assessed; current submitted report is Part 1 only.</t>
  </si>
  <si>
    <t xml:space="preserve">Feedback from earlier presentations is addressed</t>
  </si>
  <si>
    <t xml:space="preserve">No lecturer feedback has been recorded in the current feedback log; apply actual feedback when received.</t>
  </si>
  <si>
    <t xml:space="preserve">Lessons Learnt written by every team member</t>
  </si>
  <si>
    <t xml:space="preserve">Each member must supply their own Lessons Learnt; not completed or invented here.</t>
  </si>
  <si>
    <t xml:space="preserve">Video demo (.mp4 or unlisted link) shows both customer types and both reports</t>
  </si>
  <si>
    <t xml:space="preserve">Final video coverage and narration were not reviewed in this Part 1 task.</t>
  </si>
  <si>
    <t xml:space="preserve">Generative AI Usage Log submitted (Appendix.pdf)</t>
  </si>
  <si>
    <t xml:space="preserve">AI use disclosed in report Appendix B and project log. Full historical DSH exports and a separate final Appendix.pdf remain pending.</t>
  </si>
  <si>
    <t xml:space="preserve">Peer review forms submitted by every member</t>
  </si>
  <si>
    <t xml:space="preserve">Confidential individual peer-review forms are a later human submission.</t>
  </si>
  <si>
    <t xml:space="preserve">Rubric Guide: level descriptors</t>
  </si>
  <si>
    <t xml:space="preserve">Levels as a share of the item's Max: Excellent 90-100%, Good 70-89%, Adequate 50-69%, Weak below 50%. Source: Project Specification, section 5.</t>
  </si>
  <si>
    <t xml:space="preserve">Excellent (90-100%)</t>
  </si>
  <si>
    <t xml:space="preserve">Good (70-89%)</t>
  </si>
  <si>
    <t xml:space="preserve">Adequate (50-69%)</t>
  </si>
  <si>
    <t xml:space="preserve">Weak (below 50%)</t>
  </si>
  <si>
    <t xml:space="preserve">FRs have IDs, are testable and map to use cases, BRs and reports. One CRUD use case per student is clear. At least 3 measurable NFRs. Ambiguity Log has 3 or more sensible assumptions.</t>
  </si>
  <si>
    <t xml:space="preserve">Mostly testable FRs with IDs. Minor gaps in CRUD scope or NFR measurability. Ambiguity Log present but thin.</t>
  </si>
  <si>
    <t xml:space="preserve">FRs listed but vague or unmapped. NFRs only partly measurable. Ownership unclear.</t>
  </si>
  <si>
    <t xml:space="preserve">FRs copied from the spec without refinement. Reports or ownership missing. NFRs not measurable.</t>
  </si>
  <si>
    <t xml:space="preserve">Part 1: Presentation</t>
  </si>
  <si>
    <t xml:space="preserve">Clear pitch, all members speak, minor gaps in ownership or timing.</t>
  </si>
  <si>
    <t xml:space="preserve">Pitch is hard to follow, or some members do not speak.</t>
  </si>
  <si>
    <t xml:space="preserve">Unprepared, wrong length, or ownership not shown.</t>
  </si>
  <si>
    <t xml:space="preserve">Part 2: Design Doc &amp; Figma</t>
  </si>
  <si>
    <t xml:space="preserve">Complete use case specs, behavioral diagrams and Order state diagram. CRC and class diagram show Strategy pattern and clear separation. Architecture linked to NFRs. Figma matches the flows and reports exactly.</t>
  </si>
  <si>
    <t xml:space="preserve">Most artefacts complete and consistent. Strategy pattern present but weakly justified. Minor Figma mismatches.</t>
  </si>
  <si>
    <t xml:space="preserve">Several artefacts incomplete or inconsistent with each other. Quality principles named but not applied.</t>
  </si>
  <si>
    <t xml:space="preserve">Missing major artefacts. No Strategy pattern. Figma unrelated to the design.</t>
  </si>
  <si>
    <t xml:space="preserve">Part 2: Presentation</t>
  </si>
  <si>
    <t xml:space="preserve">Good walkthrough with small omissions.</t>
  </si>
  <si>
    <t xml:space="preserve">Walkthrough lacks depth or misses key requirements.</t>
  </si>
  <si>
    <t xml:space="preserve">Cannot explain own design.</t>
  </si>
  <si>
    <t xml:space="preserve">Part 3: Implementation &amp; QA</t>
  </si>
  <si>
    <t xml:space="preserve">Chosen use cases with full CRUD work flawlessly. Strict MVC/3-Tier. Pricing rules isolated and correct. 20 or more EP/BVA cases and invalid-transition tests with traceable IDs. Design justification and RTM complete. Change Request absorbed with local changes (Tier 4: automated tests).</t>
  </si>
  <si>
    <t xml:space="preserve">Use cases work with minor defects. Layers mostly separated. EP/BVA covers most thresholds. RTM mostly complete.</t>
  </si>
  <si>
    <t xml:space="preserve">Core flows work but CRUD or separation is partial. EP/BVA limited. RTM superficial. Change Request needed wide edits.</t>
  </si>
  <si>
    <t xml:space="preserve">Major features missing or broken. Business logic in UI. Few or no systematic tests.</t>
  </si>
  <si>
    <t xml:space="preserve">Part 3: Live Demo</t>
  </si>
  <si>
    <t xml:space="preserve">Flawless live execution of chosen use cases and both reports. Each student answers individual questions confidently.</t>
  </si>
  <si>
    <t xml:space="preserve">Works with small hiccups. Q&amp;A mostly sound.</t>
  </si>
  <si>
    <t xml:space="preserve">Partial demo or relies on screenshots. Weak Q&amp;A.</t>
  </si>
  <si>
    <t xml:space="preserve">Demo fails or members cannot explain their own work.</t>
  </si>
  <si>
    <t xml:space="preserve">Final Comprehensive Report</t>
  </si>
  <si>
    <t xml:space="preserve">Parts 1-3 in one polished PDF with bookmarks. Previous feedback clearly addressed. Insightful, individual Lessons Learnt.</t>
  </si>
  <si>
    <t xml:space="preserve">Complete and well formatted. Feedback mostly addressed. Reasonable lessons.</t>
  </si>
  <si>
    <t xml:space="preserve">Parts stitched together with inconsistencies. Little evidence of feedback applied. Generic lessons.</t>
  </si>
  <si>
    <t xml:space="preserve">Missing parts or bookmarks. Feedback ignored. Lessons missing or copied.</t>
  </si>
  <si>
    <t xml:space="preserve">High-quality, clear narration, end-to-end flow including both customer types and both reports.</t>
  </si>
  <si>
    <t xml:space="preserve">Clear video with minor omissions in coverage or audio.</t>
  </si>
  <si>
    <t xml:space="preserve">Hard to follow, or key flows missing.</t>
  </si>
  <si>
    <t xml:space="preserve">Unusable audio or video, or product not shown working.</t>
  </si>
</sst>
</file>

<file path=xl/styles.xml><?xml version="1.0" encoding="utf-8"?>
<styleSheet xmlns="http://schemas.openxmlformats.org/spreadsheetml/2006/main">
  <numFmts count="10">
    <numFmt numFmtId="164" formatCode="General"/>
    <numFmt numFmtId="165" formatCode="_(* #,##0.00_);_(* \(#,##0.00\);_(* \-??_);_(@_)"/>
    <numFmt numFmtId="166" formatCode="_(* #,##0_);_(* \(#,##0\);_(* \-_);_(@_)"/>
    <numFmt numFmtId="167" formatCode="_(\$* #,##0.00_);_(\$* \(#,##0.00\);_(\$* \-??_);_(@_)"/>
    <numFmt numFmtId="168" formatCode="_(\$* #,##0_);_(\$* \(#,##0\);_(\$* \-_);_(@_)"/>
    <numFmt numFmtId="169" formatCode="0%"/>
    <numFmt numFmtId="170" formatCode="0.0"/>
    <numFmt numFmtId="171" formatCode="\+0.0;\-0.0;0.0"/>
    <numFmt numFmtId="172" formatCode="0.00"/>
    <numFmt numFmtId="173" formatCode="\+0.00;\-0.00;0.00"/>
  </numFmts>
  <fonts count="14">
    <font>
      <sz val="10"/>
      <name val="Arial"/>
      <family val="2"/>
    </font>
    <font>
      <sz val="10"/>
      <name val="Arial"/>
      <family val="0"/>
    </font>
    <font>
      <sz val="10"/>
      <name val="Arial"/>
      <family val="0"/>
    </font>
    <font>
      <sz val="10"/>
      <name val="Arial"/>
      <family val="0"/>
    </font>
    <font>
      <sz val="10"/>
      <name val="Arial"/>
      <family val="0"/>
      <charset val="1"/>
    </font>
    <font>
      <sz val="11"/>
      <color theme="1"/>
      <name val="Calibri"/>
      <family val="2"/>
      <charset val="1"/>
    </font>
    <font>
      <b val="true"/>
      <sz val="15"/>
      <color rgb="FF1F3A5F"/>
      <name val="Arial"/>
      <family val="0"/>
      <charset val="1"/>
    </font>
    <font>
      <i val="true"/>
      <sz val="10"/>
      <color rgb="FF595959"/>
      <name val="Arial"/>
      <family val="0"/>
      <charset val="1"/>
    </font>
    <font>
      <b val="true"/>
      <sz val="12"/>
      <color rgb="FF1F3A5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i val="true"/>
      <sz val="9"/>
      <color rgb="FF595959"/>
      <name val="Arial"/>
      <family val="0"/>
      <charset val="1"/>
    </font>
  </fonts>
  <fills count="8">
    <fill>
      <patternFill patternType="none"/>
    </fill>
    <fill>
      <patternFill patternType="gray125"/>
    </fill>
    <fill>
      <patternFill patternType="solid">
        <fgColor rgb="FFFFF4CC"/>
        <bgColor rgb="FFFDE2E2"/>
      </patternFill>
    </fill>
    <fill>
      <patternFill patternType="solid">
        <fgColor rgb="FFDDF0DF"/>
        <bgColor rgb="FFE7E6E6"/>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s>
  <borders count="2">
    <border diagonalUp="false" diagonalDown="false">
      <left/>
      <right/>
      <top/>
      <bottom/>
      <diagonal/>
    </border>
    <border diagonalUp="false" diagonalDown="false">
      <left style="thin">
        <color rgb="FFB7C3D3"/>
      </left>
      <right style="thin">
        <color rgb="FFB7C3D3"/>
      </right>
      <top style="thin">
        <color rgb="FFB7C3D3"/>
      </top>
      <bottom style="thin">
        <color rgb="FFB7C3D3"/>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24" applyFont="true" applyBorder="false" applyAlignment="true" applyProtection="true">
      <alignment horizontal="general" vertical="bottom" textRotation="0" wrapText="false" indent="0" shrinkToFit="false"/>
      <protection locked="true" hidden="false"/>
    </xf>
    <xf numFmtId="164" fontId="7" fillId="0" borderId="0" xfId="24" applyFont="true" applyBorder="false" applyAlignment="true" applyProtection="true">
      <alignment horizontal="general" vertical="bottom" textRotation="0" wrapText="false" indent="0" shrinkToFit="false"/>
      <protection locked="true" hidden="false"/>
    </xf>
    <xf numFmtId="164" fontId="8" fillId="0" borderId="0" xfId="24" applyFont="true" applyBorder="false" applyAlignment="true" applyProtection="true">
      <alignment horizontal="general" vertical="bottom" textRotation="0" wrapText="false" indent="0" shrinkToFit="false"/>
      <protection locked="true" hidden="false"/>
    </xf>
    <xf numFmtId="164" fontId="9" fillId="0" borderId="0" xfId="24" applyFont="true" applyBorder="false" applyAlignment="true" applyProtection="true">
      <alignment horizontal="general" vertical="top" textRotation="0" wrapText="true" indent="0" shrinkToFit="false"/>
      <protection locked="true" hidden="false"/>
    </xf>
    <xf numFmtId="164" fontId="10" fillId="0" borderId="0" xfId="24" applyFont="true" applyBorder="true" applyAlignment="true" applyProtection="true">
      <alignment horizontal="general" vertical="top" textRotation="0" wrapText="true" indent="0" shrinkToFit="false"/>
      <protection locked="true" hidden="false"/>
    </xf>
    <xf numFmtId="164" fontId="11" fillId="2" borderId="1" xfId="24" applyFont="true" applyBorder="true" applyAlignment="true" applyProtection="true">
      <alignment horizontal="general" vertical="top" textRotation="0" wrapText="true" indent="0" shrinkToFit="false"/>
      <protection locked="true" hidden="false"/>
    </xf>
    <xf numFmtId="164" fontId="10" fillId="0" borderId="1" xfId="24" applyFont="true" applyBorder="true" applyAlignment="true" applyProtection="true">
      <alignment horizontal="general" vertical="top" textRotation="0" wrapText="true" indent="0" shrinkToFit="false"/>
      <protection locked="true" hidden="false"/>
    </xf>
    <xf numFmtId="164" fontId="10" fillId="0" borderId="0" xfId="24" applyFont="true" applyBorder="true" applyAlignment="true" applyProtection="true">
      <alignment horizontal="general" vertical="bottom" textRotation="0" wrapText="false" indent="0" shrinkToFit="false"/>
      <protection locked="true" hidden="false"/>
    </xf>
    <xf numFmtId="164" fontId="11" fillId="3" borderId="1" xfId="24" applyFont="true" applyBorder="true" applyAlignment="true" applyProtection="true">
      <alignment horizontal="general" vertical="top" textRotation="0" wrapText="true" indent="0" shrinkToFit="false"/>
      <protection locked="true" hidden="false"/>
    </xf>
    <xf numFmtId="164" fontId="12" fillId="4" borderId="1" xfId="24" applyFont="true" applyBorder="true" applyAlignment="true" applyProtection="true">
      <alignment horizontal="center" vertical="center" textRotation="0" wrapText="true" indent="0" shrinkToFit="false"/>
      <protection locked="true" hidden="false"/>
    </xf>
    <xf numFmtId="164" fontId="9" fillId="0" borderId="1" xfId="24" applyFont="true" applyBorder="true" applyAlignment="true" applyProtection="true">
      <alignment horizontal="general" vertical="top" textRotation="0" wrapText="true" indent="0" shrinkToFit="false"/>
      <protection locked="true" hidden="false"/>
    </xf>
    <xf numFmtId="170" fontId="11" fillId="0" borderId="1" xfId="24" applyFont="true" applyBorder="true" applyAlignment="true" applyProtection="true">
      <alignment horizontal="center" vertical="center" textRotation="0" wrapText="true" indent="0" shrinkToFit="false"/>
      <protection locked="true" hidden="false"/>
    </xf>
    <xf numFmtId="164" fontId="13" fillId="0" borderId="0" xfId="24" applyFont="true" applyBorder="false" applyAlignment="true" applyProtection="true">
      <alignment horizontal="general" vertical="bottom" textRotation="0" wrapText="false" indent="0" shrinkToFit="false"/>
      <protection locked="true" hidden="false"/>
    </xf>
    <xf numFmtId="164" fontId="10" fillId="0" borderId="1" xfId="24" applyFont="true" applyBorder="true" applyAlignment="true" applyProtection="true">
      <alignment horizontal="center" vertical="center" textRotation="0" wrapText="true" indent="0" shrinkToFit="false"/>
      <protection locked="true" hidden="false"/>
    </xf>
    <xf numFmtId="164" fontId="9" fillId="5" borderId="1" xfId="24" applyFont="true" applyBorder="true" applyAlignment="true" applyProtection="true">
      <alignment horizontal="general" vertical="top" textRotation="0" wrapText="true" indent="0" shrinkToFit="false"/>
      <protection locked="true" hidden="false"/>
    </xf>
    <xf numFmtId="170" fontId="9" fillId="0" borderId="0" xfId="24" applyFont="true" applyBorder="false" applyAlignment="true" applyProtection="true">
      <alignment horizontal="center" vertical="center" textRotation="0" wrapText="true" indent="0" shrinkToFit="false"/>
      <protection locked="true" hidden="false"/>
    </xf>
    <xf numFmtId="164" fontId="13" fillId="0" borderId="0" xfId="24" applyFont="true" applyBorder="true" applyAlignment="true" applyProtection="true">
      <alignment horizontal="general" vertical="bottom" textRotation="0" wrapText="false" indent="0" shrinkToFit="false"/>
      <protection locked="true" hidden="false"/>
    </xf>
    <xf numFmtId="164" fontId="12" fillId="6" borderId="1" xfId="24" applyFont="true" applyBorder="true" applyAlignment="true" applyProtection="true">
      <alignment horizontal="center" vertical="center" textRotation="0" wrapText="true" indent="0" shrinkToFit="false"/>
      <protection locked="true" hidden="false"/>
    </xf>
    <xf numFmtId="164" fontId="12" fillId="7" borderId="1" xfId="24" applyFont="true" applyBorder="true" applyAlignment="true" applyProtection="true">
      <alignment horizontal="center" vertical="center" textRotation="0" wrapText="true" indent="0" shrinkToFit="false"/>
      <protection locked="true" hidden="false"/>
    </xf>
    <xf numFmtId="170" fontId="10" fillId="0" borderId="1" xfId="24" applyFont="true" applyBorder="true" applyAlignment="true" applyProtection="true">
      <alignment horizontal="center" vertical="center" textRotation="0" wrapText="true" indent="0" shrinkToFit="false"/>
      <protection locked="true" hidden="false"/>
    </xf>
    <xf numFmtId="171" fontId="10" fillId="0" borderId="1" xfId="24" applyFont="true" applyBorder="true" applyAlignment="true" applyProtection="true">
      <alignment horizontal="center" vertical="center" textRotation="0" wrapText="true" indent="0" shrinkToFit="false"/>
      <protection locked="true" hidden="false"/>
    </xf>
    <xf numFmtId="172" fontId="10" fillId="0" borderId="1" xfId="24" applyFont="true" applyBorder="true" applyAlignment="true" applyProtection="true">
      <alignment horizontal="center" vertical="center" textRotation="0" wrapText="true" indent="0" shrinkToFit="false"/>
      <protection locked="true" hidden="false"/>
    </xf>
    <xf numFmtId="173" fontId="10" fillId="0" borderId="1" xfId="24" applyFont="true" applyBorder="true" applyAlignment="true" applyProtection="true">
      <alignment horizontal="center" vertical="center" textRotation="0" wrapText="true" indent="0" shrinkToFit="false"/>
      <protection locked="true" hidden="false"/>
    </xf>
    <xf numFmtId="164" fontId="13" fillId="0" borderId="0" xfId="24" applyFont="true" applyBorder="true" applyAlignment="true" applyProtection="true">
      <alignment horizontal="general" vertical="top" textRotation="0" wrapText="true" indent="0" shrinkToFit="false"/>
      <protection locked="true" hidden="false"/>
    </xf>
    <xf numFmtId="164" fontId="11" fillId="3" borderId="1" xfId="24" applyFont="true" applyBorder="true" applyAlignment="true" applyProtection="true">
      <alignment horizontal="center" vertical="center" textRotation="0" wrapText="true" indent="0" shrinkToFit="false"/>
      <protection locked="true" hidden="false"/>
    </xf>
    <xf numFmtId="172" fontId="11" fillId="3" borderId="1" xfId="24" applyFont="true" applyBorder="true" applyAlignment="true" applyProtection="true">
      <alignment horizontal="center" vertical="center" textRotation="0" wrapText="true" indent="0" shrinkToFit="false"/>
      <protection locked="true" hidden="false"/>
    </xf>
    <xf numFmtId="172" fontId="9" fillId="0" borderId="1" xfId="24" applyFont="true" applyBorder="true" applyAlignment="true" applyProtection="true">
      <alignment horizontal="center" vertical="center" textRotation="0" wrapText="true" indent="0" shrinkToFit="false"/>
      <protection locked="true" hidden="false"/>
    </xf>
    <xf numFmtId="170" fontId="11" fillId="2" borderId="1" xfId="24" applyFont="true" applyBorder="true" applyAlignment="true" applyProtection="true">
      <alignment horizontal="center" vertical="center" textRotation="0" wrapText="true" indent="0" shrinkToFit="false"/>
      <protection locked="true" hidden="false"/>
    </xf>
    <xf numFmtId="170" fontId="11" fillId="3" borderId="1" xfId="24" applyFont="true" applyBorder="true" applyAlignment="true" applyProtection="true">
      <alignment horizontal="center" vertical="center" textRotation="0" wrapText="true" indent="0" shrinkToFit="false"/>
      <protection locked="true" hidden="false"/>
    </xf>
    <xf numFmtId="164" fontId="9" fillId="5" borderId="1" xfId="24" applyFont="true" applyBorder="true" applyAlignment="true" applyProtection="true">
      <alignment horizontal="center" vertical="center" textRotation="0" wrapText="true" indent="0" shrinkToFit="false"/>
      <protection locked="true" hidden="false"/>
    </xf>
    <xf numFmtId="164" fontId="10" fillId="5" borderId="1" xfId="24" applyFont="true" applyBorder="true" applyAlignment="true" applyProtection="true">
      <alignment horizontal="general" vertical="top" textRotation="0" wrapText="true" indent="0" shrinkToFit="false"/>
      <protection locked="true" hidden="false"/>
    </xf>
    <xf numFmtId="170" fontId="9" fillId="5" borderId="1" xfId="24" applyFont="true" applyBorder="true" applyAlignment="true" applyProtection="true">
      <alignment horizontal="center" vertical="center" textRotation="0" wrapText="true" indent="0" shrinkToFit="false"/>
      <protection locked="true" hidden="false"/>
    </xf>
    <xf numFmtId="171" fontId="9" fillId="5" borderId="1" xfId="24" applyFont="true" applyBorder="true" applyAlignment="true" applyProtection="true">
      <alignment horizontal="center" vertical="center" textRotation="0" wrapText="true" indent="0" shrinkToFit="false"/>
      <protection locked="true" hidden="false"/>
    </xf>
    <xf numFmtId="169" fontId="9" fillId="5" borderId="1" xfId="24" applyFont="true" applyBorder="true" applyAlignment="true" applyProtection="true">
      <alignment horizontal="center" vertical="center" textRotation="0" wrapText="true" indent="0" shrinkToFit="false"/>
      <protection locked="true" hidden="false"/>
    </xf>
    <xf numFmtId="164" fontId="11" fillId="2" borderId="1" xfId="24" applyFont="true" applyBorder="true" applyAlignment="true" applyProtection="true">
      <alignment horizontal="center" vertical="center" textRotation="0" wrapText="true" indent="0" shrinkToFit="false"/>
      <protection locked="true" hidden="false"/>
    </xf>
    <xf numFmtId="164" fontId="11" fillId="0" borderId="1" xfId="24" applyFont="true" applyBorder="true" applyAlignment="true" applyProtection="false">
      <alignment horizontal="general" vertical="top" textRotation="0" wrapText="true" indent="0" shrinkToFit="false"/>
      <protection locked="true" hidden="false"/>
    </xf>
    <xf numFmtId="164" fontId="5" fillId="5" borderId="1" xfId="24" applyFont="false" applyBorder="true" applyAlignment="true" applyProtection="true">
      <alignment horizontal="general" vertical="bottom" textRotation="0" wrapText="false" indent="0" shrinkToFit="false"/>
      <protection locked="true" hidden="false"/>
    </xf>
    <xf numFmtId="164" fontId="10" fillId="5" borderId="1" xfId="24" applyFont="true" applyBorder="true" applyAlignment="true" applyProtection="true">
      <alignment horizontal="center" vertical="center"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dxfs count="5">
    <dxf>
      <font>
        <name val="Arial"/>
        <charset val="1"/>
        <family val="0"/>
        <b val="1"/>
        <color rgb="FF9C0006"/>
      </font>
      <fill>
        <patternFill>
          <bgColor rgb="FFFDE2E2"/>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
      <font>
        <name val="Arial"/>
        <charset val="1"/>
        <family val="0"/>
        <color rgb="FF595959"/>
      </font>
      <fill>
        <patternFill>
          <bgColor rgb="FFE7E6E6"/>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DE2E2"/>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60"/>
    <col collapsed="false" customWidth="true" hidden="false" outlineLevel="0" max="4" min="4" style="0" width="4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8" hidden="false" customHeight="true" outlineLevel="0" collapsed="false">
      <c r="A5" s="4" t="s">
        <v>3</v>
      </c>
      <c r="B5" s="5" t="s">
        <v>4</v>
      </c>
      <c r="C5" s="5"/>
      <c r="D5" s="5"/>
    </row>
    <row r="6" customFormat="false" ht="31.5" hidden="false" customHeight="true" outlineLevel="0" collapsed="false">
      <c r="A6" s="4" t="s">
        <v>3</v>
      </c>
      <c r="B6" s="5" t="s">
        <v>5</v>
      </c>
      <c r="C6" s="5"/>
      <c r="D6" s="5"/>
    </row>
    <row r="7" customFormat="false" ht="18" hidden="false" customHeight="true" outlineLevel="0" collapsed="false">
      <c r="A7" s="4" t="s">
        <v>3</v>
      </c>
      <c r="B7" s="5" t="s">
        <v>6</v>
      </c>
      <c r="C7" s="5"/>
      <c r="D7" s="5"/>
    </row>
    <row r="8" customFormat="false" ht="31.5" hidden="false" customHeight="true" outlineLevel="0" collapsed="false">
      <c r="A8" s="4" t="s">
        <v>7</v>
      </c>
      <c r="B8" s="5" t="s">
        <v>8</v>
      </c>
      <c r="C8" s="5"/>
      <c r="D8" s="5"/>
    </row>
    <row r="9" customFormat="false" ht="31.5" hidden="false" customHeight="true" outlineLevel="0" collapsed="false">
      <c r="A9" s="4" t="s">
        <v>7</v>
      </c>
      <c r="B9" s="5" t="s">
        <v>9</v>
      </c>
      <c r="C9" s="5"/>
      <c r="D9" s="5"/>
    </row>
    <row r="10" customFormat="false" ht="31.5" hidden="false" customHeight="true" outlineLevel="0" collapsed="false">
      <c r="A10" s="4" t="s">
        <v>10</v>
      </c>
      <c r="B10" s="5" t="s">
        <v>11</v>
      </c>
      <c r="C10" s="5"/>
      <c r="D10" s="5"/>
    </row>
    <row r="12" customFormat="false" ht="15" hidden="false" customHeight="false" outlineLevel="0" collapsed="false">
      <c r="A12" s="3" t="s">
        <v>12</v>
      </c>
    </row>
    <row r="13" customFormat="false" ht="15" hidden="false" customHeight="false" outlineLevel="0" collapsed="false">
      <c r="A13" s="6" t="s">
        <v>13</v>
      </c>
      <c r="B13" s="7" t="s">
        <v>14</v>
      </c>
      <c r="C13" s="8" t="s">
        <v>15</v>
      </c>
      <c r="D13" s="8"/>
    </row>
    <row r="14" customFormat="false" ht="15" hidden="false" customHeight="false" outlineLevel="0" collapsed="false">
      <c r="A14" s="9" t="s">
        <v>16</v>
      </c>
      <c r="B14" s="7" t="s">
        <v>17</v>
      </c>
      <c r="C14" s="8" t="s">
        <v>18</v>
      </c>
      <c r="D14" s="8"/>
    </row>
    <row r="15" customFormat="false" ht="15" hidden="false" customHeight="false" outlineLevel="0" collapsed="false">
      <c r="A15" s="7" t="s">
        <v>19</v>
      </c>
      <c r="B15" s="7" t="s">
        <v>20</v>
      </c>
      <c r="C15" s="8" t="s">
        <v>21</v>
      </c>
      <c r="D15" s="8"/>
    </row>
    <row r="17" customFormat="false" ht="15" hidden="false" customHeight="false" outlineLevel="0" collapsed="false">
      <c r="A17" s="3" t="s">
        <v>22</v>
      </c>
    </row>
    <row r="18" customFormat="false" ht="30" hidden="false" customHeight="true" outlineLevel="0" collapsed="false">
      <c r="A18" s="5" t="s">
        <v>23</v>
      </c>
      <c r="B18" s="5"/>
      <c r="C18" s="5"/>
      <c r="D18" s="5"/>
    </row>
    <row r="19" customFormat="false" ht="30" hidden="false" customHeight="true" outlineLevel="0" collapsed="false">
      <c r="A19" s="5" t="s">
        <v>24</v>
      </c>
      <c r="B19" s="5"/>
      <c r="C19" s="5"/>
      <c r="D19" s="5"/>
    </row>
    <row r="20" customFormat="false" ht="18" hidden="false" customHeight="true" outlineLevel="0" collapsed="false">
      <c r="A20" s="5" t="s">
        <v>25</v>
      </c>
      <c r="B20" s="5"/>
      <c r="C20" s="5"/>
      <c r="D20" s="5"/>
    </row>
    <row r="21" customFormat="false" ht="30" hidden="false" customHeight="true" outlineLevel="0" collapsed="false">
      <c r="A21" s="5" t="s">
        <v>26</v>
      </c>
      <c r="B21" s="5"/>
      <c r="C21" s="5"/>
      <c r="D21" s="5"/>
    </row>
    <row r="22" customFormat="false" ht="30" hidden="false" customHeight="true" outlineLevel="0" collapsed="false">
      <c r="A22" s="5" t="s">
        <v>27</v>
      </c>
      <c r="B22" s="5"/>
      <c r="C22" s="5"/>
      <c r="D22" s="5"/>
    </row>
    <row r="24" customFormat="false" ht="15" hidden="false" customHeight="false" outlineLevel="0" collapsed="false">
      <c r="A24" s="3" t="s">
        <v>28</v>
      </c>
    </row>
    <row r="25" customFormat="false" ht="15" hidden="false" customHeight="false" outlineLevel="0" collapsed="false">
      <c r="A25" s="10" t="s">
        <v>29</v>
      </c>
      <c r="B25" s="10" t="s">
        <v>30</v>
      </c>
    </row>
    <row r="26" customFormat="false" ht="15" hidden="false" customHeight="false" outlineLevel="0" collapsed="false">
      <c r="A26" s="11" t="s">
        <v>31</v>
      </c>
      <c r="B26" s="12" t="n">
        <v>7</v>
      </c>
    </row>
    <row r="27" customFormat="false" ht="15" hidden="false" customHeight="false" outlineLevel="0" collapsed="false">
      <c r="A27" s="11" t="s">
        <v>32</v>
      </c>
      <c r="B27" s="12" t="n">
        <v>7.5</v>
      </c>
    </row>
    <row r="28" customFormat="false" ht="15" hidden="false" customHeight="false" outlineLevel="0" collapsed="false">
      <c r="A28" s="11" t="s">
        <v>33</v>
      </c>
      <c r="B28" s="12" t="n">
        <v>8.5</v>
      </c>
    </row>
    <row r="29" customFormat="false" ht="15" hidden="false" customHeight="false" outlineLevel="0" collapsed="false">
      <c r="A29" s="11" t="s">
        <v>34</v>
      </c>
      <c r="B29" s="12" t="n">
        <v>9.5</v>
      </c>
    </row>
    <row r="30" customFormat="false" ht="15" hidden="false" customHeight="false" outlineLevel="0" collapsed="false">
      <c r="A30" s="11" t="s">
        <v>35</v>
      </c>
      <c r="B30" s="12" t="n">
        <v>10</v>
      </c>
    </row>
    <row r="31" customFormat="false" ht="15" hidden="false" customHeight="false" outlineLevel="0" collapsed="false">
      <c r="A31" s="13" t="s">
        <v>36</v>
      </c>
    </row>
    <row r="33" customFormat="false" ht="15" hidden="false" customHeight="false" outlineLevel="0" collapsed="false">
      <c r="A33" s="3" t="s">
        <v>37</v>
      </c>
    </row>
    <row r="34" customFormat="false" ht="15" hidden="false" customHeight="false" outlineLevel="0" collapsed="false">
      <c r="A34" s="10" t="s">
        <v>38</v>
      </c>
      <c r="B34" s="10" t="s">
        <v>39</v>
      </c>
      <c r="C34" s="10" t="s">
        <v>40</v>
      </c>
      <c r="D34" s="10" t="s">
        <v>41</v>
      </c>
    </row>
    <row r="35" customFormat="false" ht="48" hidden="false" customHeight="true" outlineLevel="0" collapsed="false">
      <c r="A35" s="7" t="s">
        <v>42</v>
      </c>
      <c r="B35" s="14" t="n">
        <v>15</v>
      </c>
      <c r="C35" s="7" t="s">
        <v>43</v>
      </c>
      <c r="D35" s="7" t="s">
        <v>44</v>
      </c>
    </row>
  </sheetData>
  <mergeCells count="14">
    <mergeCell ref="B5:D5"/>
    <mergeCell ref="B6:D6"/>
    <mergeCell ref="B7:D7"/>
    <mergeCell ref="B8:D8"/>
    <mergeCell ref="B9:D9"/>
    <mergeCell ref="B10:D10"/>
    <mergeCell ref="C13:D13"/>
    <mergeCell ref="C14:D14"/>
    <mergeCell ref="C15:D15"/>
    <mergeCell ref="A18:D18"/>
    <mergeCell ref="A19:D19"/>
    <mergeCell ref="A20:D20"/>
    <mergeCell ref="A21:D21"/>
    <mergeCell ref="A22:D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26"/>
    <col collapsed="false" customWidth="true" hidden="false" outlineLevel="0" max="3" min="3" style="0" width="16"/>
    <col collapsed="false" customWidth="true" hidden="false" outlineLevel="0" max="4" min="4" style="0" width="36"/>
    <col collapsed="false" customWidth="true" hidden="false" outlineLevel="0" max="5" min="5" style="0" width="16"/>
    <col collapsed="false" customWidth="true" hidden="false" outlineLevel="0" max="6" min="6" style="0" width="18"/>
    <col collapsed="false" customWidth="true" hidden="false" outlineLevel="0" max="7" min="7" style="0" width="22"/>
  </cols>
  <sheetData>
    <row r="1" customFormat="false" ht="18.55" hidden="false" customHeight="false" outlineLevel="0" collapsed="false">
      <c r="A1" s="1" t="s">
        <v>45</v>
      </c>
    </row>
    <row r="2" customFormat="false" ht="15" hidden="false" customHeight="false" outlineLevel="0" collapsed="false">
      <c r="A2" s="2" t="s">
        <v>46</v>
      </c>
    </row>
    <row r="4" customFormat="false" ht="15" hidden="false" customHeight="false" outlineLevel="0" collapsed="false">
      <c r="A4" s="15" t="s">
        <v>47</v>
      </c>
      <c r="B4" s="6" t="s">
        <v>48</v>
      </c>
    </row>
    <row r="5" customFormat="false" ht="15" hidden="false" customHeight="false" outlineLevel="0" collapsed="false">
      <c r="A5" s="15" t="s">
        <v>49</v>
      </c>
      <c r="B5" s="8" t="s">
        <v>50</v>
      </c>
      <c r="C5" s="8"/>
      <c r="D5" s="8"/>
    </row>
    <row r="6" customFormat="false" ht="15" hidden="false" customHeight="false" outlineLevel="0" collapsed="false">
      <c r="A6" s="15" t="s">
        <v>51</v>
      </c>
      <c r="B6" s="6" t="s">
        <v>35</v>
      </c>
    </row>
    <row r="7" customFormat="false" ht="15" hidden="false" customHeight="false" outlineLevel="0" collapsed="false">
      <c r="A7" s="15" t="s">
        <v>52</v>
      </c>
      <c r="B7" s="16" t="n">
        <f aca="false">IF(B8&lt;&gt;"",IFERROR(VLOOKUP(B8,Instructions!$A$26:$B$30,2,FALSE()),""),IFERROR(VLOOKUP(B6,Instructions!$A$26:$B$30,2,FALSE()),""))</f>
        <v>10</v>
      </c>
      <c r="C7" s="17" t="s">
        <v>53</v>
      </c>
    </row>
    <row r="8" customFormat="false" ht="15" hidden="false" customHeight="false" outlineLevel="0" collapsed="false">
      <c r="A8" s="15" t="s">
        <v>54</v>
      </c>
      <c r="B8" s="9"/>
    </row>
    <row r="9" customFormat="false" ht="15" hidden="false" customHeight="false" outlineLevel="0" collapsed="false">
      <c r="A9" s="15" t="s">
        <v>55</v>
      </c>
      <c r="B9" s="9"/>
    </row>
    <row r="10" customFormat="false" ht="15" hidden="false" customHeight="false" outlineLevel="0" collapsed="false">
      <c r="A10" s="15" t="s">
        <v>56</v>
      </c>
      <c r="B10" s="9"/>
    </row>
    <row r="11" customFormat="false" ht="15" hidden="false" customHeight="false" outlineLevel="0" collapsed="false">
      <c r="A11" s="3" t="s">
        <v>57</v>
      </c>
    </row>
    <row r="12" customFormat="false" ht="15" hidden="false" customHeight="false" outlineLevel="0" collapsed="false">
      <c r="A12" s="10" t="s">
        <v>58</v>
      </c>
      <c r="B12" s="18" t="s">
        <v>59</v>
      </c>
      <c r="C12" s="19" t="s">
        <v>7</v>
      </c>
      <c r="D12" s="10" t="s">
        <v>60</v>
      </c>
    </row>
    <row r="13" customFormat="false" ht="15" hidden="false" customHeight="false" outlineLevel="0" collapsed="false">
      <c r="A13" s="11" t="s">
        <v>61</v>
      </c>
      <c r="B13" s="20" t="n">
        <f aca="false">Marking!E13</f>
        <v>19</v>
      </c>
      <c r="C13" s="20" t="n">
        <f aca="false">Marking!F13</f>
        <v>0</v>
      </c>
      <c r="D13" s="21" t="n">
        <f aca="false">B13-C13</f>
        <v>19</v>
      </c>
    </row>
    <row r="14" customFormat="false" ht="15" hidden="false" customHeight="false" outlineLevel="0" collapsed="false">
      <c r="A14" s="11" t="s">
        <v>62</v>
      </c>
      <c r="B14" s="22" t="n">
        <f aca="false">IF($B$7="","",MIN(B13/10,$B$7))</f>
        <v>1.9</v>
      </c>
      <c r="C14" s="22" t="n">
        <f aca="false">IF($B$7="","",MIN(C13/10,$B$7))</f>
        <v>0</v>
      </c>
      <c r="D14" s="23" t="n">
        <f aca="false">IF(OR(B14="",C14=""),"",B14-C14)</f>
        <v>1.9</v>
      </c>
    </row>
    <row r="15" customFormat="false" ht="22.35" hidden="false" customHeight="false" outlineLevel="0" collapsed="false">
      <c r="A15" s="24" t="s">
        <v>63</v>
      </c>
    </row>
    <row r="16" customFormat="false" ht="15" hidden="false" customHeight="false" outlineLevel="0" collapsed="false">
      <c r="A16" s="3" t="s">
        <v>64</v>
      </c>
    </row>
    <row r="17" customFormat="false" ht="48" hidden="false" customHeight="true" outlineLevel="0" collapsed="false">
      <c r="A17" s="10" t="s">
        <v>65</v>
      </c>
      <c r="B17" s="18" t="s">
        <v>66</v>
      </c>
      <c r="C17" s="18" t="s">
        <v>67</v>
      </c>
      <c r="D17" s="18" t="s">
        <v>68</v>
      </c>
      <c r="E17" s="19" t="s">
        <v>69</v>
      </c>
      <c r="F17" s="19" t="s">
        <v>70</v>
      </c>
      <c r="G17" s="10" t="s">
        <v>71</v>
      </c>
    </row>
    <row r="18" customFormat="false" ht="24" hidden="false" customHeight="true" outlineLevel="0" collapsed="false">
      <c r="A18" s="15" t="s">
        <v>72</v>
      </c>
      <c r="B18" s="6" t="s">
        <v>73</v>
      </c>
      <c r="C18" s="6" t="s">
        <v>74</v>
      </c>
      <c r="D18" s="6" t="s">
        <v>75</v>
      </c>
      <c r="E18" s="25"/>
      <c r="F18" s="26"/>
      <c r="G18" s="27" t="n">
        <f aca="false">IF(OR($B18="",$C$14=""),"",ROUND($C$14*IF($F18="",1,$F18),2))</f>
        <v>0</v>
      </c>
    </row>
    <row r="19" customFormat="false" ht="24" hidden="false" customHeight="true" outlineLevel="0" collapsed="false">
      <c r="A19" s="15" t="s">
        <v>76</v>
      </c>
      <c r="B19" s="6" t="s">
        <v>77</v>
      </c>
      <c r="C19" s="6" t="s">
        <v>78</v>
      </c>
      <c r="D19" s="6" t="s">
        <v>79</v>
      </c>
      <c r="E19" s="25"/>
      <c r="F19" s="26"/>
      <c r="G19" s="27" t="n">
        <f aca="false">IF(OR($B19="",$C$14=""),"",ROUND($C$14*IF($F19="",1,$F19),2))</f>
        <v>0</v>
      </c>
    </row>
    <row r="20" customFormat="false" ht="24" hidden="false" customHeight="true" outlineLevel="0" collapsed="false">
      <c r="A20" s="15" t="s">
        <v>80</v>
      </c>
      <c r="B20" s="6" t="s">
        <v>81</v>
      </c>
      <c r="C20" s="6" t="s">
        <v>82</v>
      </c>
      <c r="D20" s="6" t="s">
        <v>83</v>
      </c>
      <c r="E20" s="25"/>
      <c r="F20" s="26"/>
      <c r="G20" s="27" t="n">
        <f aca="false">IF(OR($B20="",$C$14=""),"",ROUND($C$14*IF($F20="",1,$F20),2))</f>
        <v>0</v>
      </c>
    </row>
    <row r="21" customFormat="false" ht="15" hidden="false" customHeight="false" outlineLevel="0" collapsed="false">
      <c r="A21" s="13" t="s">
        <v>84</v>
      </c>
    </row>
    <row r="23" customFormat="false" ht="15" hidden="false" customHeight="false" outlineLevel="0" collapsed="false">
      <c r="A23" s="3" t="s">
        <v>85</v>
      </c>
    </row>
    <row r="24" customFormat="false" ht="60" hidden="false" customHeight="true" outlineLevel="0" collapsed="false">
      <c r="A24" s="15" t="s">
        <v>86</v>
      </c>
      <c r="B24" s="6" t="s">
        <v>87</v>
      </c>
      <c r="C24" s="6"/>
      <c r="D24" s="6"/>
      <c r="E24" s="6"/>
      <c r="F24" s="6"/>
      <c r="G24" s="6"/>
    </row>
    <row r="25" customFormat="false" ht="60" hidden="false" customHeight="true" outlineLevel="0" collapsed="false">
      <c r="A25" s="15" t="s">
        <v>88</v>
      </c>
      <c r="B25" s="9"/>
      <c r="C25" s="9"/>
      <c r="D25" s="9"/>
      <c r="E25" s="9"/>
      <c r="F25" s="9"/>
      <c r="G25" s="9"/>
    </row>
  </sheetData>
  <mergeCells count="3">
    <mergeCell ref="B5:D5"/>
    <mergeCell ref="B24:G24"/>
    <mergeCell ref="B25:G25"/>
  </mergeCells>
  <conditionalFormatting sqref="E18:E20">
    <cfRule type="expression" priority="2" aboveAverage="0" equalAverage="0" bottom="0" percent="0" rank="0" text="" dxfId="0">
      <formula>AND(ISNUMBER(E18),E18&lt;=10)</formula>
    </cfRule>
  </conditionalFormatting>
  <dataValidations count="3">
    <dataValidation allowBlank="true" error="Choose a tier from the list." errorStyle="stop" operator="between" showDropDown="false" showErrorMessage="true" showInputMessage="false" sqref="B6 B8" type="list">
      <formula1>"Tier 1,Tier 1B,Tier 2,Tier 3,Tier 4"</formula1>
      <formula2>0</formula2>
    </dataValidation>
    <dataValidation allowBlank="true" error="Contribution Factor must be between 0.70 and 1.00." errorStyle="stop" operator="between" showDropDown="false" showErrorMessage="true" showInputMessage="false" sqref="F18:F20" type="decimal">
      <formula1>0.7</formula1>
      <formula2>1</formula2>
    </dataValidation>
    <dataValidation allowBlank="true" error="Enter a whole number of commits." errorStyle="stop" operator="greaterThanOrEqual" showDropDown="false" showErrorMessage="true" showInputMessage="false" sqref="E18:E20" type="whol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8"/>
    <col collapsed="false" customWidth="true" hidden="false" outlineLevel="0" max="4" min="4" style="0" width="62"/>
    <col collapsed="false" customWidth="true" hidden="false" outlineLevel="0" max="6" min="5" style="0" width="13"/>
    <col collapsed="false" customWidth="true" hidden="false" outlineLevel="0" max="7" min="7" style="0" width="12"/>
    <col collapsed="false" customWidth="true" hidden="false" outlineLevel="0" max="9" min="8" style="0" width="42"/>
  </cols>
  <sheetData>
    <row r="1" customFormat="false" ht="18.55" hidden="false" customHeight="false" outlineLevel="0" collapsed="false">
      <c r="A1" s="1" t="s">
        <v>89</v>
      </c>
    </row>
    <row r="2" customFormat="false" ht="15" hidden="false" customHeight="false" outlineLevel="0" collapsed="false">
      <c r="A2" s="2" t="s">
        <v>90</v>
      </c>
    </row>
    <row r="4" customFormat="false" ht="33.75" hidden="false" customHeight="true" outlineLevel="0" collapsed="false">
      <c r="A4" s="10" t="s">
        <v>91</v>
      </c>
      <c r="B4" s="10" t="s">
        <v>92</v>
      </c>
      <c r="C4" s="10" t="s">
        <v>93</v>
      </c>
      <c r="D4" s="10" t="s">
        <v>94</v>
      </c>
      <c r="E4" s="18" t="s">
        <v>95</v>
      </c>
      <c r="F4" s="19" t="s">
        <v>96</v>
      </c>
      <c r="G4" s="10" t="s">
        <v>60</v>
      </c>
      <c r="H4" s="18" t="s">
        <v>97</v>
      </c>
      <c r="I4" s="19" t="s">
        <v>98</v>
      </c>
    </row>
    <row r="5" customFormat="false" ht="108" hidden="false" customHeight="true" outlineLevel="0" collapsed="false">
      <c r="A5" s="11" t="s">
        <v>99</v>
      </c>
      <c r="B5" s="11" t="s">
        <v>100</v>
      </c>
      <c r="C5" s="14" t="n">
        <v>15</v>
      </c>
      <c r="D5" s="7" t="s">
        <v>101</v>
      </c>
      <c r="E5" s="28" t="n">
        <v>14.5</v>
      </c>
      <c r="F5" s="29"/>
      <c r="G5" s="21" t="str">
        <f aca="false">IF(AND(ISNUMBER(E5),ISNUMBER(F5)),E5-F5,"")</f>
        <v/>
      </c>
      <c r="H5" s="6" t="s">
        <v>102</v>
      </c>
      <c r="I5" s="9"/>
    </row>
    <row r="6" customFormat="false" ht="72" hidden="false" customHeight="true" outlineLevel="0" collapsed="false">
      <c r="A6" s="11" t="s">
        <v>99</v>
      </c>
      <c r="B6" s="11" t="s">
        <v>103</v>
      </c>
      <c r="C6" s="14" t="n">
        <v>5</v>
      </c>
      <c r="D6" s="7" t="s">
        <v>104</v>
      </c>
      <c r="E6" s="28" t="n">
        <v>4.5</v>
      </c>
      <c r="F6" s="29"/>
      <c r="G6" s="21" t="str">
        <f aca="false">IF(AND(ISNUMBER(E6),ISNUMBER(F6)),E6-F6,"")</f>
        <v/>
      </c>
      <c r="H6" s="6" t="s">
        <v>105</v>
      </c>
      <c r="I6" s="9"/>
    </row>
    <row r="7" customFormat="false" ht="60" hidden="false" customHeight="true" outlineLevel="0" collapsed="false">
      <c r="A7" s="11" t="s">
        <v>106</v>
      </c>
      <c r="B7" s="11" t="s">
        <v>107</v>
      </c>
      <c r="C7" s="14" t="n">
        <v>20</v>
      </c>
      <c r="D7" s="7" t="s">
        <v>108</v>
      </c>
      <c r="E7" s="28"/>
      <c r="F7" s="29"/>
      <c r="G7" s="21" t="str">
        <f aca="false">IF(AND(ISNUMBER(E7),ISNUMBER(F7)),E7-F7,"")</f>
        <v/>
      </c>
      <c r="H7" s="6" t="s">
        <v>109</v>
      </c>
      <c r="I7" s="9"/>
    </row>
    <row r="8" customFormat="false" ht="36" hidden="false" customHeight="true" outlineLevel="0" collapsed="false">
      <c r="A8" s="11" t="s">
        <v>106</v>
      </c>
      <c r="B8" s="11" t="s">
        <v>110</v>
      </c>
      <c r="C8" s="14" t="n">
        <v>5</v>
      </c>
      <c r="D8" s="7" t="s">
        <v>111</v>
      </c>
      <c r="E8" s="28"/>
      <c r="F8" s="29"/>
      <c r="G8" s="21" t="str">
        <f aca="false">IF(AND(ISNUMBER(E8),ISNUMBER(F8)),E8-F8,"")</f>
        <v/>
      </c>
      <c r="H8" s="6" t="s">
        <v>112</v>
      </c>
      <c r="I8" s="9"/>
    </row>
    <row r="9" customFormat="false" ht="60" hidden="false" customHeight="true" outlineLevel="0" collapsed="false">
      <c r="A9" s="11" t="s">
        <v>113</v>
      </c>
      <c r="B9" s="11" t="s">
        <v>114</v>
      </c>
      <c r="C9" s="14" t="n">
        <v>30</v>
      </c>
      <c r="D9" s="7" t="s">
        <v>115</v>
      </c>
      <c r="E9" s="28"/>
      <c r="F9" s="29"/>
      <c r="G9" s="21" t="str">
        <f aca="false">IF(AND(ISNUMBER(E9),ISNUMBER(F9)),E9-F9,"")</f>
        <v/>
      </c>
      <c r="H9" s="6" t="s">
        <v>116</v>
      </c>
      <c r="I9" s="9"/>
    </row>
    <row r="10" customFormat="false" ht="36" hidden="false" customHeight="true" outlineLevel="0" collapsed="false">
      <c r="A10" s="11" t="s">
        <v>113</v>
      </c>
      <c r="B10" s="11" t="s">
        <v>117</v>
      </c>
      <c r="C10" s="14" t="n">
        <v>5</v>
      </c>
      <c r="D10" s="7" t="s">
        <v>118</v>
      </c>
      <c r="E10" s="28"/>
      <c r="F10" s="29"/>
      <c r="G10" s="21" t="str">
        <f aca="false">IF(AND(ISNUMBER(E10),ISNUMBER(F10)),E10-F10,"")</f>
        <v/>
      </c>
      <c r="H10" s="6" t="s">
        <v>119</v>
      </c>
      <c r="I10" s="9"/>
    </row>
    <row r="11" customFormat="false" ht="48" hidden="false" customHeight="true" outlineLevel="0" collapsed="false">
      <c r="A11" s="11" t="s">
        <v>120</v>
      </c>
      <c r="B11" s="11" t="s">
        <v>121</v>
      </c>
      <c r="C11" s="14" t="n">
        <v>10</v>
      </c>
      <c r="D11" s="7" t="s">
        <v>122</v>
      </c>
      <c r="E11" s="28"/>
      <c r="F11" s="29"/>
      <c r="G11" s="21" t="str">
        <f aca="false">IF(AND(ISNUMBER(E11),ISNUMBER(F11)),E11-F11,"")</f>
        <v/>
      </c>
      <c r="H11" s="6" t="s">
        <v>123</v>
      </c>
      <c r="I11" s="9"/>
    </row>
    <row r="12" customFormat="false" ht="36" hidden="false" customHeight="true" outlineLevel="0" collapsed="false">
      <c r="A12" s="11" t="s">
        <v>120</v>
      </c>
      <c r="B12" s="11" t="s">
        <v>124</v>
      </c>
      <c r="C12" s="14" t="n">
        <v>10</v>
      </c>
      <c r="D12" s="7" t="s">
        <v>125</v>
      </c>
      <c r="E12" s="28"/>
      <c r="F12" s="29"/>
      <c r="G12" s="21" t="str">
        <f aca="false">IF(AND(ISNUMBER(E12),ISNUMBER(F12)),E12-F12,"")</f>
        <v/>
      </c>
      <c r="H12" s="6" t="s">
        <v>126</v>
      </c>
      <c r="I12" s="9"/>
    </row>
    <row r="13" customFormat="false" ht="15" hidden="false" customHeight="false" outlineLevel="0" collapsed="false">
      <c r="A13" s="15" t="s">
        <v>127</v>
      </c>
      <c r="B13" s="15" t="s">
        <v>61</v>
      </c>
      <c r="C13" s="30" t="n">
        <f aca="false">SUM(C5:C12)</f>
        <v>100</v>
      </c>
      <c r="D13" s="31"/>
      <c r="E13" s="32" t="n">
        <f aca="false">SUM(E5:E12)</f>
        <v>19</v>
      </c>
      <c r="F13" s="32" t="n">
        <f aca="false">SUM(F5:F12)</f>
        <v>0</v>
      </c>
      <c r="G13" s="33" t="n">
        <f aca="false">E13-F13</f>
        <v>19</v>
      </c>
      <c r="H13" s="31"/>
      <c r="I13" s="31"/>
    </row>
    <row r="15" customFormat="false" ht="15" hidden="false" customHeight="false" outlineLevel="0" collapsed="false">
      <c r="A15" s="3" t="s">
        <v>128</v>
      </c>
    </row>
    <row r="16" customFormat="false" ht="15" hidden="false" customHeight="false" outlineLevel="0" collapsed="false">
      <c r="A16" s="10" t="s">
        <v>91</v>
      </c>
      <c r="B16" s="10"/>
      <c r="C16" s="10" t="s">
        <v>39</v>
      </c>
      <c r="E16" s="18" t="s">
        <v>129</v>
      </c>
      <c r="F16" s="19" t="s">
        <v>7</v>
      </c>
      <c r="G16" s="10" t="s">
        <v>130</v>
      </c>
    </row>
    <row r="17" customFormat="false" ht="15" hidden="false" customHeight="false" outlineLevel="0" collapsed="false">
      <c r="A17" s="11" t="s">
        <v>99</v>
      </c>
      <c r="B17" s="7"/>
      <c r="C17" s="14" t="n">
        <f aca="false">SUMIF($A$5:$A$12,$A17,$C$5:$C$12)</f>
        <v>20</v>
      </c>
      <c r="E17" s="20" t="n">
        <f aca="false">SUMIF($A$5:$A$12,$A17,E$5:E$12)</f>
        <v>19</v>
      </c>
      <c r="F17" s="20" t="n">
        <f aca="false">SUMIF($A$5:$A$12,$A17,F$5:F$12)</f>
        <v>0</v>
      </c>
      <c r="G17" s="21" t="n">
        <f aca="false">E17-F17</f>
        <v>19</v>
      </c>
    </row>
    <row r="18" customFormat="false" ht="15" hidden="false" customHeight="false" outlineLevel="0" collapsed="false">
      <c r="A18" s="11" t="s">
        <v>106</v>
      </c>
      <c r="B18" s="7"/>
      <c r="C18" s="14" t="n">
        <f aca="false">SUMIF($A$5:$A$12,$A18,$C$5:$C$12)</f>
        <v>25</v>
      </c>
      <c r="E18" s="20" t="n">
        <f aca="false">SUMIF($A$5:$A$12,$A18,E$5:E$12)</f>
        <v>0</v>
      </c>
      <c r="F18" s="20" t="n">
        <f aca="false">SUMIF($A$5:$A$12,$A18,F$5:F$12)</f>
        <v>0</v>
      </c>
      <c r="G18" s="21" t="n">
        <f aca="false">E18-F18</f>
        <v>0</v>
      </c>
    </row>
    <row r="19" customFormat="false" ht="15" hidden="false" customHeight="false" outlineLevel="0" collapsed="false">
      <c r="A19" s="11" t="s">
        <v>113</v>
      </c>
      <c r="B19" s="7"/>
      <c r="C19" s="14" t="n">
        <f aca="false">SUMIF($A$5:$A$12,$A19,$C$5:$C$12)</f>
        <v>35</v>
      </c>
      <c r="E19" s="20" t="n">
        <f aca="false">SUMIF($A$5:$A$12,$A19,E$5:E$12)</f>
        <v>0</v>
      </c>
      <c r="F19" s="20" t="n">
        <f aca="false">SUMIF($A$5:$A$12,$A19,F$5:F$12)</f>
        <v>0</v>
      </c>
      <c r="G19" s="21" t="n">
        <f aca="false">E19-F19</f>
        <v>0</v>
      </c>
    </row>
    <row r="20" customFormat="false" ht="15" hidden="false" customHeight="false" outlineLevel="0" collapsed="false">
      <c r="A20" s="11" t="s">
        <v>120</v>
      </c>
      <c r="B20" s="7"/>
      <c r="C20" s="14" t="n">
        <f aca="false">SUMIF($A$5:$A$12,$A20,$C$5:$C$12)</f>
        <v>20</v>
      </c>
      <c r="E20" s="20" t="n">
        <f aca="false">SUMIF($A$5:$A$12,$A20,E$5:E$12)</f>
        <v>0</v>
      </c>
      <c r="F20" s="20" t="n">
        <f aca="false">SUMIF($A$5:$A$12,$A20,F$5:F$12)</f>
        <v>0</v>
      </c>
      <c r="G20" s="21" t="n">
        <f aca="false">E20-F20</f>
        <v>0</v>
      </c>
    </row>
    <row r="22" customFormat="false" ht="15" hidden="false" customHeight="false" outlineLevel="0" collapsed="false">
      <c r="A22" s="13" t="s">
        <v>131</v>
      </c>
    </row>
  </sheetData>
  <conditionalFormatting sqref="G5:G12">
    <cfRule type="expression" priority="2" aboveAverage="0" equalAverage="0" bottom="0" percent="0" rank="0" text="" dxfId="0">
      <formula>AND(ISNUMBER(G5),ABS(G5)&gt;0.2*$C5)</formula>
    </cfRule>
  </conditionalFormatting>
  <dataValidations count="1">
    <dataValidation allowBlank="true" error="Enter a number from 0 up to the item's Max (column C)." errorStyle="stop" errorTitle="Mark out of range" operator="between" showDropDown="false" showErrorMessage="true" showInputMessage="false" sqref="E5:F12" type="decimal">
      <formula1>0</formula1>
      <formula2>$C5</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70"/>
    <col collapsed="false" customWidth="true" hidden="false" outlineLevel="0" max="5" min="4" style="0" width="14"/>
    <col collapsed="false" customWidth="true" hidden="false" outlineLevel="0" max="6" min="6" style="0" width="44"/>
  </cols>
  <sheetData>
    <row r="1" customFormat="false" ht="18.55" hidden="false" customHeight="false" outlineLevel="0" collapsed="false">
      <c r="A1" s="1" t="s">
        <v>132</v>
      </c>
    </row>
    <row r="2" customFormat="false" ht="15" hidden="false" customHeight="false" outlineLevel="0" collapsed="false">
      <c r="A2" s="2" t="s">
        <v>133</v>
      </c>
    </row>
    <row r="4" customFormat="false" ht="15" hidden="false" customHeight="false" outlineLevel="0" collapsed="false">
      <c r="C4" s="10" t="s">
        <v>134</v>
      </c>
      <c r="D4" s="18" t="s">
        <v>135</v>
      </c>
      <c r="E4" s="19" t="s">
        <v>7</v>
      </c>
    </row>
    <row r="5" customFormat="false" ht="15" hidden="false" customHeight="false" outlineLevel="0" collapsed="false">
      <c r="C5" s="11" t="s">
        <v>136</v>
      </c>
      <c r="D5" s="14" t="n">
        <f aca="false">COUNTIF(D$13:D$56,"Yes")</f>
        <v>7</v>
      </c>
      <c r="E5" s="14" t="n">
        <f aca="false">COUNTIF(E$13:E$56,"Yes")</f>
        <v>0</v>
      </c>
    </row>
    <row r="6" customFormat="false" ht="15" hidden="false" customHeight="false" outlineLevel="0" collapsed="false">
      <c r="C6" s="11" t="s">
        <v>137</v>
      </c>
      <c r="D6" s="14" t="n">
        <f aca="false">COUNTIF(D$13:D$56,"Partial")</f>
        <v>2</v>
      </c>
      <c r="E6" s="14" t="n">
        <f aca="false">COUNTIF(E$13:E$56,"Partial")</f>
        <v>0</v>
      </c>
    </row>
    <row r="7" customFormat="false" ht="15" hidden="false" customHeight="false" outlineLevel="0" collapsed="false">
      <c r="C7" s="11" t="s">
        <v>138</v>
      </c>
      <c r="D7" s="14" t="n">
        <f aca="false">COUNTIF(D$13:D$56,"No")</f>
        <v>31</v>
      </c>
      <c r="E7" s="14" t="n">
        <f aca="false">COUNTIF(E$13:E$56,"No")</f>
        <v>0</v>
      </c>
    </row>
    <row r="8" customFormat="false" ht="15" hidden="false" customHeight="false" outlineLevel="0" collapsed="false">
      <c r="C8" s="11" t="s">
        <v>139</v>
      </c>
      <c r="D8" s="14" t="n">
        <f aca="false">COUNTIF(D$13:D$56,"N/A")</f>
        <v>0</v>
      </c>
      <c r="E8" s="14" t="n">
        <f aca="false">COUNTIF(E$13:E$56,"N/A")</f>
        <v>0</v>
      </c>
    </row>
    <row r="9" customFormat="false" ht="15" hidden="false" customHeight="false" outlineLevel="0" collapsed="false">
      <c r="C9" s="15" t="s">
        <v>140</v>
      </c>
      <c r="D9" s="34" t="n">
        <f aca="false">IFERROR((COUNTIF(D$13:D$56,"Yes")+0.5*COUNTIF(D$13:D$56,"Partial"))/(COUNTA(D$13:D$56)-COUNTIF(D$13:D$56,"N/A")),"")</f>
        <v>0.2</v>
      </c>
      <c r="E9" s="34" t="str">
        <f aca="false">IFERROR((COUNTIF(E$13:E$56,"Yes")+0.5*COUNTIF(E$13:E$56,"Partial"))/(COUNTA(E$13:E$56)-COUNTIF(E$13:E$56,"N/A")),"")</f>
        <v/>
      </c>
    </row>
    <row r="12" customFormat="false" ht="15" hidden="false" customHeight="false" outlineLevel="0" collapsed="false">
      <c r="A12" s="10" t="s">
        <v>91</v>
      </c>
      <c r="B12" s="10" t="s">
        <v>141</v>
      </c>
      <c r="C12" s="10" t="s">
        <v>142</v>
      </c>
      <c r="D12" s="18" t="s">
        <v>135</v>
      </c>
      <c r="E12" s="19" t="s">
        <v>7</v>
      </c>
      <c r="F12" s="10" t="s">
        <v>143</v>
      </c>
    </row>
    <row r="13" customFormat="false" ht="24" hidden="false" customHeight="true" outlineLevel="0" collapsed="false">
      <c r="A13" s="11" t="s">
        <v>99</v>
      </c>
      <c r="B13" s="14" t="n">
        <v>1</v>
      </c>
      <c r="C13" s="7" t="s">
        <v>144</v>
      </c>
      <c r="D13" s="35" t="s">
        <v>136</v>
      </c>
      <c r="E13" s="25"/>
      <c r="F13" s="36" t="s">
        <v>145</v>
      </c>
    </row>
    <row r="14" customFormat="false" ht="60" hidden="false" customHeight="true" outlineLevel="0" collapsed="false">
      <c r="A14" s="11" t="s">
        <v>99</v>
      </c>
      <c r="B14" s="14" t="n">
        <v>2</v>
      </c>
      <c r="C14" s="7" t="s">
        <v>146</v>
      </c>
      <c r="D14" s="35" t="s">
        <v>136</v>
      </c>
      <c r="E14" s="25"/>
      <c r="F14" s="36" t="s">
        <v>147</v>
      </c>
    </row>
    <row r="15" customFormat="false" ht="24" hidden="false" customHeight="true" outlineLevel="0" collapsed="false">
      <c r="A15" s="11" t="s">
        <v>99</v>
      </c>
      <c r="B15" s="14" t="n">
        <v>3</v>
      </c>
      <c r="C15" s="7" t="s">
        <v>148</v>
      </c>
      <c r="D15" s="35" t="s">
        <v>136</v>
      </c>
      <c r="E15" s="25"/>
      <c r="F15" s="36" t="s">
        <v>149</v>
      </c>
    </row>
    <row r="16" customFormat="false" ht="36" hidden="false" customHeight="true" outlineLevel="0" collapsed="false">
      <c r="A16" s="11" t="s">
        <v>99</v>
      </c>
      <c r="B16" s="14" t="n">
        <v>4</v>
      </c>
      <c r="C16" s="7" t="s">
        <v>150</v>
      </c>
      <c r="D16" s="35" t="s">
        <v>136</v>
      </c>
      <c r="E16" s="25"/>
      <c r="F16" s="36" t="s">
        <v>151</v>
      </c>
    </row>
    <row r="17" customFormat="false" ht="48" hidden="false" customHeight="true" outlineLevel="0" collapsed="false">
      <c r="A17" s="11" t="s">
        <v>99</v>
      </c>
      <c r="B17" s="14" t="n">
        <v>5</v>
      </c>
      <c r="C17" s="7" t="s">
        <v>152</v>
      </c>
      <c r="D17" s="35" t="s">
        <v>136</v>
      </c>
      <c r="E17" s="25"/>
      <c r="F17" s="36" t="s">
        <v>153</v>
      </c>
    </row>
    <row r="18" customFormat="false" ht="24" hidden="false" customHeight="true" outlineLevel="0" collapsed="false">
      <c r="A18" s="11" t="s">
        <v>99</v>
      </c>
      <c r="B18" s="14" t="n">
        <v>6</v>
      </c>
      <c r="C18" s="7" t="s">
        <v>154</v>
      </c>
      <c r="D18" s="35" t="s">
        <v>136</v>
      </c>
      <c r="E18" s="25"/>
      <c r="F18" s="36" t="s">
        <v>155</v>
      </c>
    </row>
    <row r="19" customFormat="false" ht="36" hidden="false" customHeight="true" outlineLevel="0" collapsed="false">
      <c r="A19" s="11" t="s">
        <v>99</v>
      </c>
      <c r="B19" s="14" t="n">
        <v>7</v>
      </c>
      <c r="C19" s="7" t="s">
        <v>156</v>
      </c>
      <c r="D19" s="35" t="s">
        <v>136</v>
      </c>
      <c r="E19" s="25"/>
      <c r="F19" s="36" t="s">
        <v>157</v>
      </c>
    </row>
    <row r="20" customFormat="false" ht="3.75" hidden="false" customHeight="true" outlineLevel="0" collapsed="false">
      <c r="A20" s="37"/>
      <c r="B20" s="37"/>
      <c r="C20" s="37"/>
      <c r="D20" s="37"/>
      <c r="E20" s="37"/>
      <c r="F20" s="37"/>
    </row>
    <row r="21" customFormat="false" ht="24" hidden="false" customHeight="true" outlineLevel="0" collapsed="false">
      <c r="A21" s="11" t="s">
        <v>106</v>
      </c>
      <c r="B21" s="14" t="n">
        <v>8</v>
      </c>
      <c r="C21" s="7" t="s">
        <v>158</v>
      </c>
      <c r="D21" s="35" t="s">
        <v>138</v>
      </c>
      <c r="E21" s="25"/>
      <c r="F21" s="36" t="s">
        <v>159</v>
      </c>
    </row>
    <row r="22" customFormat="false" ht="24" hidden="false" customHeight="true" outlineLevel="0" collapsed="false">
      <c r="A22" s="11" t="s">
        <v>106</v>
      </c>
      <c r="B22" s="14" t="n">
        <v>9</v>
      </c>
      <c r="C22" s="7" t="s">
        <v>160</v>
      </c>
      <c r="D22" s="35" t="s">
        <v>138</v>
      </c>
      <c r="E22" s="25"/>
      <c r="F22" s="36" t="s">
        <v>161</v>
      </c>
    </row>
    <row r="23" customFormat="false" ht="24" hidden="false" customHeight="true" outlineLevel="0" collapsed="false">
      <c r="A23" s="11" t="s">
        <v>106</v>
      </c>
      <c r="B23" s="14" t="n">
        <v>10</v>
      </c>
      <c r="C23" s="7" t="s">
        <v>162</v>
      </c>
      <c r="D23" s="35" t="s">
        <v>138</v>
      </c>
      <c r="E23" s="25"/>
      <c r="F23" s="36" t="s">
        <v>163</v>
      </c>
    </row>
    <row r="24" customFormat="false" ht="24" hidden="false" customHeight="true" outlineLevel="0" collapsed="false">
      <c r="A24" s="11" t="s">
        <v>106</v>
      </c>
      <c r="B24" s="14" t="n">
        <v>11</v>
      </c>
      <c r="C24" s="7" t="s">
        <v>164</v>
      </c>
      <c r="D24" s="35" t="s">
        <v>138</v>
      </c>
      <c r="E24" s="25"/>
      <c r="F24" s="36" t="s">
        <v>165</v>
      </c>
    </row>
    <row r="25" customFormat="false" ht="24" hidden="false" customHeight="true" outlineLevel="0" collapsed="false">
      <c r="A25" s="11" t="s">
        <v>106</v>
      </c>
      <c r="B25" s="14" t="n">
        <v>12</v>
      </c>
      <c r="C25" s="7" t="s">
        <v>166</v>
      </c>
      <c r="D25" s="35" t="s">
        <v>138</v>
      </c>
      <c r="E25" s="25"/>
      <c r="F25" s="36" t="s">
        <v>167</v>
      </c>
    </row>
    <row r="26" customFormat="false" ht="24" hidden="false" customHeight="true" outlineLevel="0" collapsed="false">
      <c r="A26" s="11" t="s">
        <v>106</v>
      </c>
      <c r="B26" s="14" t="n">
        <v>13</v>
      </c>
      <c r="C26" s="7" t="s">
        <v>168</v>
      </c>
      <c r="D26" s="35" t="s">
        <v>138</v>
      </c>
      <c r="E26" s="25"/>
      <c r="F26" s="36" t="s">
        <v>169</v>
      </c>
    </row>
    <row r="27" customFormat="false" ht="24" hidden="false" customHeight="true" outlineLevel="0" collapsed="false">
      <c r="A27" s="11" t="s">
        <v>106</v>
      </c>
      <c r="B27" s="14" t="n">
        <v>14</v>
      </c>
      <c r="C27" s="7" t="s">
        <v>170</v>
      </c>
      <c r="D27" s="35" t="s">
        <v>138</v>
      </c>
      <c r="E27" s="25"/>
      <c r="F27" s="36" t="s">
        <v>171</v>
      </c>
    </row>
    <row r="28" customFormat="false" ht="3.75" hidden="false" customHeight="true" outlineLevel="0" collapsed="false">
      <c r="A28" s="37"/>
      <c r="B28" s="37"/>
      <c r="C28" s="37"/>
      <c r="D28" s="37"/>
      <c r="E28" s="37"/>
      <c r="F28" s="37"/>
    </row>
    <row r="29" customFormat="false" ht="24" hidden="false" customHeight="true" outlineLevel="0" collapsed="false">
      <c r="A29" s="11" t="s">
        <v>113</v>
      </c>
      <c r="B29" s="14" t="n">
        <v>15</v>
      </c>
      <c r="C29" s="7" t="s">
        <v>172</v>
      </c>
      <c r="D29" s="35" t="s">
        <v>138</v>
      </c>
      <c r="E29" s="25"/>
      <c r="F29" s="36" t="s">
        <v>173</v>
      </c>
    </row>
    <row r="30" customFormat="false" ht="24" hidden="false" customHeight="true" outlineLevel="0" collapsed="false">
      <c r="A30" s="11" t="s">
        <v>113</v>
      </c>
      <c r="B30" s="14" t="n">
        <v>16</v>
      </c>
      <c r="C30" s="7" t="s">
        <v>174</v>
      </c>
      <c r="D30" s="35" t="s">
        <v>138</v>
      </c>
      <c r="E30" s="25"/>
      <c r="F30" s="36" t="s">
        <v>175</v>
      </c>
    </row>
    <row r="31" customFormat="false" ht="24" hidden="false" customHeight="true" outlineLevel="0" collapsed="false">
      <c r="A31" s="11" t="s">
        <v>113</v>
      </c>
      <c r="B31" s="14" t="n">
        <v>17</v>
      </c>
      <c r="C31" s="7" t="s">
        <v>176</v>
      </c>
      <c r="D31" s="35" t="s">
        <v>138</v>
      </c>
      <c r="E31" s="25"/>
      <c r="F31" s="36" t="s">
        <v>177</v>
      </c>
    </row>
    <row r="32" customFormat="false" ht="24" hidden="false" customHeight="true" outlineLevel="0" collapsed="false">
      <c r="A32" s="11" t="s">
        <v>113</v>
      </c>
      <c r="B32" s="14" t="n">
        <v>18</v>
      </c>
      <c r="C32" s="7" t="s">
        <v>178</v>
      </c>
      <c r="D32" s="35" t="s">
        <v>138</v>
      </c>
      <c r="E32" s="25"/>
      <c r="F32" s="36" t="s">
        <v>179</v>
      </c>
    </row>
    <row r="33" customFormat="false" ht="24" hidden="false" customHeight="true" outlineLevel="0" collapsed="false">
      <c r="A33" s="11" t="s">
        <v>113</v>
      </c>
      <c r="B33" s="14" t="n">
        <v>19</v>
      </c>
      <c r="C33" s="7" t="s">
        <v>180</v>
      </c>
      <c r="D33" s="35" t="s">
        <v>138</v>
      </c>
      <c r="E33" s="25"/>
      <c r="F33" s="36" t="s">
        <v>181</v>
      </c>
    </row>
    <row r="34" customFormat="false" ht="24" hidden="false" customHeight="true" outlineLevel="0" collapsed="false">
      <c r="A34" s="11" t="s">
        <v>113</v>
      </c>
      <c r="B34" s="14" t="n">
        <v>20</v>
      </c>
      <c r="C34" s="7" t="s">
        <v>182</v>
      </c>
      <c r="D34" s="35" t="s">
        <v>138</v>
      </c>
      <c r="E34" s="25"/>
      <c r="F34" s="36" t="s">
        <v>183</v>
      </c>
    </row>
    <row r="35" customFormat="false" ht="24" hidden="false" customHeight="true" outlineLevel="0" collapsed="false">
      <c r="A35" s="11" t="s">
        <v>113</v>
      </c>
      <c r="B35" s="14" t="n">
        <v>21</v>
      </c>
      <c r="C35" s="7" t="s">
        <v>184</v>
      </c>
      <c r="D35" s="35" t="s">
        <v>138</v>
      </c>
      <c r="E35" s="25"/>
      <c r="F35" s="36" t="s">
        <v>185</v>
      </c>
    </row>
    <row r="36" customFormat="false" ht="36" hidden="false" customHeight="true" outlineLevel="0" collapsed="false">
      <c r="A36" s="11" t="s">
        <v>113</v>
      </c>
      <c r="B36" s="14" t="n">
        <v>22</v>
      </c>
      <c r="C36" s="7" t="s">
        <v>186</v>
      </c>
      <c r="D36" s="35" t="s">
        <v>138</v>
      </c>
      <c r="E36" s="25"/>
      <c r="F36" s="36" t="s">
        <v>187</v>
      </c>
    </row>
    <row r="37" customFormat="false" ht="24" hidden="false" customHeight="true" outlineLevel="0" collapsed="false">
      <c r="A37" s="11" t="s">
        <v>113</v>
      </c>
      <c r="B37" s="14" t="n">
        <v>23</v>
      </c>
      <c r="C37" s="7" t="s">
        <v>188</v>
      </c>
      <c r="D37" s="35" t="s">
        <v>138</v>
      </c>
      <c r="E37" s="25"/>
      <c r="F37" s="36" t="s">
        <v>189</v>
      </c>
    </row>
    <row r="38" customFormat="false" ht="36" hidden="false" customHeight="true" outlineLevel="0" collapsed="false">
      <c r="A38" s="11" t="s">
        <v>113</v>
      </c>
      <c r="B38" s="14" t="n">
        <v>24</v>
      </c>
      <c r="C38" s="7" t="s">
        <v>190</v>
      </c>
      <c r="D38" s="35" t="s">
        <v>138</v>
      </c>
      <c r="E38" s="25"/>
      <c r="F38" s="36" t="s">
        <v>191</v>
      </c>
    </row>
    <row r="39" customFormat="false" ht="24" hidden="false" customHeight="true" outlineLevel="0" collapsed="false">
      <c r="A39" s="11" t="s">
        <v>113</v>
      </c>
      <c r="B39" s="14" t="n">
        <v>25</v>
      </c>
      <c r="C39" s="7" t="s">
        <v>192</v>
      </c>
      <c r="D39" s="35" t="s">
        <v>138</v>
      </c>
      <c r="E39" s="25"/>
      <c r="F39" s="36" t="s">
        <v>193</v>
      </c>
    </row>
    <row r="40" customFormat="false" ht="24" hidden="false" customHeight="true" outlineLevel="0" collapsed="false">
      <c r="A40" s="11" t="s">
        <v>113</v>
      </c>
      <c r="B40" s="14" t="n">
        <v>26</v>
      </c>
      <c r="C40" s="7" t="s">
        <v>194</v>
      </c>
      <c r="D40" s="35" t="s">
        <v>138</v>
      </c>
      <c r="E40" s="25"/>
      <c r="F40" s="36" t="s">
        <v>195</v>
      </c>
    </row>
    <row r="41" customFormat="false" ht="24" hidden="false" customHeight="true" outlineLevel="0" collapsed="false">
      <c r="A41" s="11" t="s">
        <v>113</v>
      </c>
      <c r="B41" s="14" t="n">
        <v>27</v>
      </c>
      <c r="C41" s="7" t="s">
        <v>196</v>
      </c>
      <c r="D41" s="35" t="s">
        <v>138</v>
      </c>
      <c r="E41" s="25"/>
      <c r="F41" s="36" t="s">
        <v>197</v>
      </c>
    </row>
    <row r="42" customFormat="false" ht="24" hidden="false" customHeight="true" outlineLevel="0" collapsed="false">
      <c r="A42" s="11" t="s">
        <v>113</v>
      </c>
      <c r="B42" s="14" t="n">
        <v>28</v>
      </c>
      <c r="C42" s="7" t="s">
        <v>198</v>
      </c>
      <c r="D42" s="35" t="s">
        <v>138</v>
      </c>
      <c r="E42" s="25"/>
      <c r="F42" s="36" t="s">
        <v>199</v>
      </c>
    </row>
    <row r="43" customFormat="false" ht="24" hidden="false" customHeight="true" outlineLevel="0" collapsed="false">
      <c r="A43" s="11" t="s">
        <v>113</v>
      </c>
      <c r="B43" s="14" t="n">
        <v>29</v>
      </c>
      <c r="C43" s="7" t="s">
        <v>200</v>
      </c>
      <c r="D43" s="35" t="s">
        <v>138</v>
      </c>
      <c r="E43" s="25"/>
      <c r="F43" s="36" t="s">
        <v>201</v>
      </c>
    </row>
    <row r="44" customFormat="false" ht="36" hidden="false" customHeight="true" outlineLevel="0" collapsed="false">
      <c r="A44" s="11" t="s">
        <v>113</v>
      </c>
      <c r="B44" s="14" t="n">
        <v>30</v>
      </c>
      <c r="C44" s="7" t="s">
        <v>202</v>
      </c>
      <c r="D44" s="35" t="s">
        <v>137</v>
      </c>
      <c r="E44" s="25"/>
      <c r="F44" s="36" t="s">
        <v>203</v>
      </c>
    </row>
    <row r="45" customFormat="false" ht="15" hidden="false" customHeight="true" outlineLevel="0" collapsed="false">
      <c r="A45" s="11" t="s">
        <v>113</v>
      </c>
      <c r="B45" s="14" t="n">
        <v>31</v>
      </c>
      <c r="C45" s="7" t="s">
        <v>204</v>
      </c>
      <c r="D45" s="35" t="s">
        <v>138</v>
      </c>
      <c r="E45" s="25"/>
      <c r="F45" s="36" t="s">
        <v>205</v>
      </c>
    </row>
    <row r="46" customFormat="false" ht="24" hidden="false" customHeight="true" outlineLevel="0" collapsed="false">
      <c r="A46" s="11" t="s">
        <v>113</v>
      </c>
      <c r="B46" s="14" t="n">
        <v>32</v>
      </c>
      <c r="C46" s="7" t="s">
        <v>206</v>
      </c>
      <c r="D46" s="35" t="s">
        <v>138</v>
      </c>
      <c r="E46" s="25"/>
      <c r="F46" s="36" t="s">
        <v>207</v>
      </c>
    </row>
    <row r="47" customFormat="false" ht="24" hidden="false" customHeight="true" outlineLevel="0" collapsed="false">
      <c r="A47" s="11" t="s">
        <v>113</v>
      </c>
      <c r="B47" s="14" t="n">
        <v>33</v>
      </c>
      <c r="C47" s="7" t="s">
        <v>208</v>
      </c>
      <c r="D47" s="35" t="s">
        <v>138</v>
      </c>
      <c r="E47" s="25"/>
      <c r="F47" s="36" t="s">
        <v>209</v>
      </c>
    </row>
    <row r="48" customFormat="false" ht="24" hidden="false" customHeight="true" outlineLevel="0" collapsed="false">
      <c r="A48" s="11" t="s">
        <v>113</v>
      </c>
      <c r="B48" s="14" t="n">
        <v>34</v>
      </c>
      <c r="C48" s="7" t="s">
        <v>210</v>
      </c>
      <c r="D48" s="35" t="s">
        <v>138</v>
      </c>
      <c r="E48" s="25"/>
      <c r="F48" s="36" t="s">
        <v>211</v>
      </c>
    </row>
    <row r="49" customFormat="false" ht="3.75" hidden="false" customHeight="true" outlineLevel="0" collapsed="false">
      <c r="A49" s="37"/>
      <c r="B49" s="37"/>
      <c r="C49" s="37"/>
      <c r="D49" s="37"/>
      <c r="E49" s="37"/>
      <c r="F49" s="37"/>
    </row>
    <row r="50" customFormat="false" ht="24" hidden="false" customHeight="true" outlineLevel="0" collapsed="false">
      <c r="A50" s="11" t="s">
        <v>120</v>
      </c>
      <c r="B50" s="14" t="n">
        <v>35</v>
      </c>
      <c r="C50" s="7" t="s">
        <v>212</v>
      </c>
      <c r="D50" s="35" t="s">
        <v>138</v>
      </c>
      <c r="E50" s="25"/>
      <c r="F50" s="36" t="s">
        <v>213</v>
      </c>
    </row>
    <row r="51" customFormat="false" ht="24" hidden="false" customHeight="true" outlineLevel="0" collapsed="false">
      <c r="A51" s="11" t="s">
        <v>120</v>
      </c>
      <c r="B51" s="14" t="n">
        <v>36</v>
      </c>
      <c r="C51" s="7" t="s">
        <v>214</v>
      </c>
      <c r="D51" s="35" t="s">
        <v>138</v>
      </c>
      <c r="E51" s="25"/>
      <c r="F51" s="36" t="s">
        <v>215</v>
      </c>
    </row>
    <row r="52" customFormat="false" ht="24" hidden="false" customHeight="true" outlineLevel="0" collapsed="false">
      <c r="A52" s="11" t="s">
        <v>120</v>
      </c>
      <c r="B52" s="14" t="n">
        <v>37</v>
      </c>
      <c r="C52" s="7" t="s">
        <v>216</v>
      </c>
      <c r="D52" s="35" t="s">
        <v>138</v>
      </c>
      <c r="E52" s="25"/>
      <c r="F52" s="36" t="s">
        <v>217</v>
      </c>
    </row>
    <row r="53" customFormat="false" ht="24" hidden="false" customHeight="true" outlineLevel="0" collapsed="false">
      <c r="A53" s="11" t="s">
        <v>120</v>
      </c>
      <c r="B53" s="14" t="n">
        <v>38</v>
      </c>
      <c r="C53" s="7" t="s">
        <v>218</v>
      </c>
      <c r="D53" s="35" t="s">
        <v>138</v>
      </c>
      <c r="E53" s="25"/>
      <c r="F53" s="36" t="s">
        <v>219</v>
      </c>
    </row>
    <row r="54" customFormat="false" ht="36" hidden="false" customHeight="true" outlineLevel="0" collapsed="false">
      <c r="A54" s="11" t="s">
        <v>120</v>
      </c>
      <c r="B54" s="14" t="n">
        <v>39</v>
      </c>
      <c r="C54" s="7" t="s">
        <v>220</v>
      </c>
      <c r="D54" s="35" t="s">
        <v>137</v>
      </c>
      <c r="E54" s="25"/>
      <c r="F54" s="36" t="s">
        <v>221</v>
      </c>
    </row>
    <row r="55" customFormat="false" ht="24" hidden="false" customHeight="true" outlineLevel="0" collapsed="false">
      <c r="A55" s="11" t="s">
        <v>120</v>
      </c>
      <c r="B55" s="14" t="n">
        <v>40</v>
      </c>
      <c r="C55" s="7" t="s">
        <v>222</v>
      </c>
      <c r="D55" s="35" t="s">
        <v>138</v>
      </c>
      <c r="E55" s="25"/>
      <c r="F55" s="36" t="s">
        <v>223</v>
      </c>
    </row>
    <row r="56" customFormat="false" ht="3.75" hidden="false" customHeight="true" outlineLevel="0" collapsed="false">
      <c r="A56" s="37"/>
      <c r="B56" s="37"/>
      <c r="C56" s="37"/>
      <c r="D56" s="37"/>
      <c r="E56" s="37"/>
      <c r="F56" s="37"/>
    </row>
  </sheetData>
  <conditionalFormatting sqref="D13:E56">
    <cfRule type="cellIs" priority="2" operator="equal" aboveAverage="0" equalAverage="0" bottom="0" percent="0" rank="0" text="" dxfId="1">
      <formula>"Yes"</formula>
    </cfRule>
    <cfRule type="cellIs" priority="3" operator="equal" aboveAverage="0" equalAverage="0" bottom="0" percent="0" rank="0" text="" dxfId="2">
      <formula>"Partial"</formula>
    </cfRule>
    <cfRule type="cellIs" priority="4" operator="equal" aboveAverage="0" equalAverage="0" bottom="0" percent="0" rank="0" text="" dxfId="3">
      <formula>"No"</formula>
    </cfRule>
    <cfRule type="cellIs" priority="5" operator="equal" aboveAverage="0" equalAverage="0" bottom="0" percent="0" rank="0" text="" dxfId="4">
      <formula>"N/A"</formula>
    </cfRule>
  </conditionalFormatting>
  <dataValidations count="1">
    <dataValidation allowBlank="true" error="Choose Yes, Partial, No or N/A." errorStyle="stop" operator="between" showDropDown="false" showErrorMessage="true" showInputMessage="false" sqref="D13:E19 D21:E27 D29:E48 D50:E55" type="list">
      <formula1>"Yes,Partial,No,N/A"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6" min="3" style="0" width="40"/>
    <col collapsed="false" customWidth="true" hidden="false" outlineLevel="0" max="7" min="7" style="0" width="3"/>
  </cols>
  <sheetData>
    <row r="1" customFormat="false" ht="18.55" hidden="false" customHeight="false" outlineLevel="0" collapsed="false">
      <c r="A1" s="1" t="s">
        <v>224</v>
      </c>
    </row>
    <row r="2" customFormat="false" ht="15" hidden="false" customHeight="false" outlineLevel="0" collapsed="false">
      <c r="A2" s="2" t="s">
        <v>225</v>
      </c>
    </row>
    <row r="4" customFormat="false" ht="15" hidden="false" customHeight="false" outlineLevel="0" collapsed="false">
      <c r="A4" s="10" t="s">
        <v>92</v>
      </c>
      <c r="B4" s="10" t="s">
        <v>39</v>
      </c>
      <c r="C4" s="10" t="s">
        <v>226</v>
      </c>
      <c r="D4" s="10" t="s">
        <v>227</v>
      </c>
      <c r="E4" s="10" t="s">
        <v>228</v>
      </c>
      <c r="F4" s="10" t="s">
        <v>229</v>
      </c>
    </row>
    <row r="5" customFormat="false" ht="91.5" hidden="false" customHeight="true" outlineLevel="0" collapsed="false">
      <c r="A5" s="11" t="s">
        <v>42</v>
      </c>
      <c r="B5" s="14" t="n">
        <v>15</v>
      </c>
      <c r="C5" s="7" t="s">
        <v>230</v>
      </c>
      <c r="D5" s="7" t="s">
        <v>231</v>
      </c>
      <c r="E5" s="7" t="s">
        <v>232</v>
      </c>
      <c r="F5" s="7" t="s">
        <v>233</v>
      </c>
    </row>
    <row r="6" customFormat="false" ht="91.5" hidden="false" customHeight="true" outlineLevel="0" collapsed="false">
      <c r="A6" s="15" t="s">
        <v>234</v>
      </c>
      <c r="B6" s="38" t="n">
        <v>5</v>
      </c>
      <c r="C6" s="31" t="s">
        <v>104</v>
      </c>
      <c r="D6" s="31" t="s">
        <v>235</v>
      </c>
      <c r="E6" s="31" t="s">
        <v>236</v>
      </c>
      <c r="F6" s="31" t="s">
        <v>237</v>
      </c>
    </row>
    <row r="7" customFormat="false" ht="91.5" hidden="false" customHeight="true" outlineLevel="0" collapsed="false">
      <c r="A7" s="11" t="s">
        <v>238</v>
      </c>
      <c r="B7" s="14" t="n">
        <v>20</v>
      </c>
      <c r="C7" s="7" t="s">
        <v>239</v>
      </c>
      <c r="D7" s="7" t="s">
        <v>240</v>
      </c>
      <c r="E7" s="7" t="s">
        <v>241</v>
      </c>
      <c r="F7" s="7" t="s">
        <v>242</v>
      </c>
    </row>
    <row r="8" customFormat="false" ht="91.5" hidden="false" customHeight="true" outlineLevel="0" collapsed="false">
      <c r="A8" s="15" t="s">
        <v>243</v>
      </c>
      <c r="B8" s="38" t="n">
        <v>5</v>
      </c>
      <c r="C8" s="31" t="s">
        <v>111</v>
      </c>
      <c r="D8" s="31" t="s">
        <v>244</v>
      </c>
      <c r="E8" s="31" t="s">
        <v>245</v>
      </c>
      <c r="F8" s="31" t="s">
        <v>246</v>
      </c>
    </row>
    <row r="9" customFormat="false" ht="91.5" hidden="false" customHeight="true" outlineLevel="0" collapsed="false">
      <c r="A9" s="11" t="s">
        <v>247</v>
      </c>
      <c r="B9" s="14" t="n">
        <v>30</v>
      </c>
      <c r="C9" s="7" t="s">
        <v>248</v>
      </c>
      <c r="D9" s="7" t="s">
        <v>249</v>
      </c>
      <c r="E9" s="7" t="s">
        <v>250</v>
      </c>
      <c r="F9" s="7" t="s">
        <v>251</v>
      </c>
    </row>
    <row r="10" customFormat="false" ht="91.5" hidden="false" customHeight="true" outlineLevel="0" collapsed="false">
      <c r="A10" s="15" t="s">
        <v>252</v>
      </c>
      <c r="B10" s="38" t="n">
        <v>5</v>
      </c>
      <c r="C10" s="31" t="s">
        <v>253</v>
      </c>
      <c r="D10" s="31" t="s">
        <v>254</v>
      </c>
      <c r="E10" s="31" t="s">
        <v>255</v>
      </c>
      <c r="F10" s="31" t="s">
        <v>256</v>
      </c>
    </row>
    <row r="11" customFormat="false" ht="91.5" hidden="false" customHeight="true" outlineLevel="0" collapsed="false">
      <c r="A11" s="11" t="s">
        <v>257</v>
      </c>
      <c r="B11" s="14" t="n">
        <v>10</v>
      </c>
      <c r="C11" s="7" t="s">
        <v>258</v>
      </c>
      <c r="D11" s="7" t="s">
        <v>259</v>
      </c>
      <c r="E11" s="7" t="s">
        <v>260</v>
      </c>
      <c r="F11" s="7" t="s">
        <v>261</v>
      </c>
    </row>
    <row r="12" customFormat="false" ht="91.5" hidden="false" customHeight="true" outlineLevel="0" collapsed="false">
      <c r="A12" s="15" t="s">
        <v>124</v>
      </c>
      <c r="B12" s="38" t="n">
        <v>10</v>
      </c>
      <c r="C12" s="31" t="s">
        <v>262</v>
      </c>
      <c r="D12" s="31" t="s">
        <v>263</v>
      </c>
      <c r="E12" s="31" t="s">
        <v>264</v>
      </c>
      <c r="F12" s="31" t="s">
        <v>265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